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4"/>
  <workbookPr/>
  <mc:AlternateContent xmlns:mc="http://schemas.openxmlformats.org/markup-compatibility/2006">
    <mc:Choice Requires="x15">
      <x15ac:absPath xmlns:x15ac="http://schemas.microsoft.com/office/spreadsheetml/2010/11/ac" url="/Users/4467383/Documents/breast-cancer-coh/Normalization/"/>
    </mc:Choice>
  </mc:AlternateContent>
  <xr:revisionPtr revIDLastSave="0" documentId="13_ncr:1_{8C159A39-CF13-EB4F-8566-0B211C66CBED}" xr6:coauthVersionLast="47" xr6:coauthVersionMax="47" xr10:uidLastSave="{00000000-0000-0000-0000-000000000000}"/>
  <bookViews>
    <workbookView xWindow="0" yWindow="760" windowWidth="34560" windowHeight="20400" xr2:uid="{00000000-000D-0000-FFFF-FFFF00000000}"/>
  </bookViews>
  <sheets>
    <sheet name="Formatted" sheetId="5" r:id="rId1"/>
    <sheet name="Sens &amp; Resist coculture ratios" sheetId="2" r:id="rId2"/>
    <sheet name="Sensitive &amp; Resist monocultu" sheetId="1" r:id="rId3"/>
    <sheet name="Spheroid areas for plated cell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5" l="1"/>
  <c r="R3" i="5"/>
  <c r="Q3" i="5"/>
  <c r="P3" i="5"/>
  <c r="O3" i="5"/>
  <c r="N3" i="5"/>
  <c r="M3" i="5"/>
  <c r="L3" i="5"/>
  <c r="K18" i="5"/>
  <c r="J18" i="5"/>
  <c r="I18" i="5"/>
  <c r="H18" i="5"/>
  <c r="G18" i="5"/>
  <c r="F18" i="5"/>
  <c r="E18" i="5"/>
  <c r="D18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6" i="5"/>
  <c r="K11" i="1"/>
  <c r="K7" i="1"/>
  <c r="K4" i="1"/>
  <c r="AA52" i="2"/>
  <c r="X52" i="2"/>
  <c r="V52" i="2"/>
  <c r="I52" i="2"/>
  <c r="E52" i="2"/>
  <c r="B52" i="2"/>
  <c r="S7" i="2"/>
  <c r="O7" i="2"/>
  <c r="L7" i="2"/>
  <c r="I7" i="2"/>
  <c r="E7" i="2"/>
  <c r="B7" i="2"/>
  <c r="S44" i="2"/>
  <c r="O44" i="2"/>
  <c r="L44" i="2"/>
  <c r="AC44" i="2"/>
  <c r="AA44" i="2"/>
  <c r="X44" i="2"/>
  <c r="V44" i="2"/>
  <c r="I44" i="2"/>
  <c r="E44" i="2"/>
  <c r="B44" i="2"/>
  <c r="M36" i="2"/>
  <c r="N36" i="2"/>
  <c r="O36" i="2"/>
  <c r="P36" i="2"/>
  <c r="Q36" i="2"/>
  <c r="R36" i="2"/>
  <c r="S36" i="2"/>
  <c r="L36" i="2"/>
  <c r="AC36" i="2"/>
  <c r="Y36" i="2"/>
  <c r="W36" i="2"/>
  <c r="X36" i="2"/>
  <c r="Z36" i="2"/>
  <c r="AA36" i="2"/>
  <c r="AB36" i="2"/>
  <c r="V36" i="2"/>
  <c r="G36" i="2"/>
  <c r="E36" i="2"/>
  <c r="C36" i="2"/>
  <c r="D36" i="2"/>
  <c r="F36" i="2"/>
  <c r="H36" i="2"/>
  <c r="I36" i="2"/>
  <c r="B36" i="2"/>
  <c r="V27" i="2"/>
  <c r="B27" i="2"/>
  <c r="M17" i="2"/>
  <c r="N17" i="2"/>
  <c r="O17" i="2"/>
  <c r="P17" i="2"/>
  <c r="Q17" i="2"/>
  <c r="R17" i="2"/>
  <c r="S17" i="2"/>
  <c r="L17" i="2"/>
  <c r="AC17" i="2"/>
  <c r="W17" i="2"/>
  <c r="X17" i="2"/>
  <c r="Y17" i="2"/>
  <c r="Z17" i="2"/>
  <c r="AA17" i="2"/>
  <c r="AB17" i="2"/>
  <c r="V17" i="2"/>
  <c r="C7" i="2"/>
  <c r="H17" i="2"/>
  <c r="E17" i="2"/>
  <c r="D17" i="2"/>
  <c r="C17" i="2"/>
  <c r="F17" i="2"/>
  <c r="G17" i="2"/>
  <c r="I17" i="2"/>
  <c r="B17" i="2"/>
  <c r="Z52" i="2"/>
  <c r="W52" i="2"/>
  <c r="AC52" i="2"/>
  <c r="AB52" i="2"/>
  <c r="Y52" i="2"/>
  <c r="AB44" i="2"/>
  <c r="Z44" i="2"/>
  <c r="Y44" i="2"/>
  <c r="W44" i="2"/>
  <c r="AC27" i="2"/>
  <c r="AB27" i="2"/>
  <c r="AA27" i="2"/>
  <c r="Z27" i="2"/>
  <c r="Y27" i="2"/>
  <c r="X27" i="2"/>
  <c r="W27" i="2"/>
  <c r="R44" i="2"/>
  <c r="Q44" i="2"/>
  <c r="P44" i="2"/>
  <c r="N44" i="2"/>
  <c r="M44" i="2"/>
  <c r="S27" i="2"/>
  <c r="R27" i="2"/>
  <c r="Q27" i="2"/>
  <c r="P27" i="2"/>
  <c r="O27" i="2"/>
  <c r="N27" i="2"/>
  <c r="M27" i="2"/>
  <c r="L27" i="2"/>
  <c r="R7" i="2"/>
  <c r="M7" i="2"/>
  <c r="Q7" i="2"/>
  <c r="P7" i="2"/>
  <c r="N7" i="2"/>
  <c r="C44" i="2"/>
  <c r="H44" i="2"/>
  <c r="G44" i="2"/>
  <c r="F44" i="2"/>
  <c r="D44" i="2"/>
  <c r="C52" i="2"/>
  <c r="D52" i="2"/>
  <c r="F52" i="2"/>
  <c r="G52" i="2"/>
  <c r="H52" i="2"/>
  <c r="O5" i="1"/>
  <c r="O6" i="1"/>
  <c r="O7" i="1"/>
  <c r="O8" i="1"/>
  <c r="O9" i="1"/>
  <c r="O10" i="1"/>
  <c r="O11" i="1"/>
  <c r="O4" i="1"/>
  <c r="K9" i="1"/>
  <c r="K5" i="1"/>
  <c r="K6" i="1"/>
  <c r="K8" i="1"/>
  <c r="K10" i="1"/>
  <c r="C27" i="2"/>
  <c r="I27" i="2"/>
  <c r="H27" i="2"/>
  <c r="G27" i="2"/>
  <c r="F27" i="2"/>
  <c r="E27" i="2"/>
  <c r="D27" i="2"/>
  <c r="H7" i="2"/>
  <c r="G7" i="2"/>
  <c r="F7" i="2"/>
  <c r="D7" i="2"/>
</calcChain>
</file>

<file path=xl/sharedStrings.xml><?xml version="1.0" encoding="utf-8"?>
<sst xmlns="http://schemas.openxmlformats.org/spreadsheetml/2006/main" count="142" uniqueCount="26">
  <si>
    <t>Resistant 2</t>
  </si>
  <si>
    <t>Sensitive 1</t>
  </si>
  <si>
    <t>Sensitive 2</t>
  </si>
  <si>
    <t>Resistant 1</t>
  </si>
  <si>
    <t>Cells plated</t>
  </si>
  <si>
    <t>Rep 1</t>
  </si>
  <si>
    <t>Rep 2</t>
  </si>
  <si>
    <t>Rep 3</t>
  </si>
  <si>
    <t>100% Sensitive - 0% Resistant</t>
  </si>
  <si>
    <t>Average</t>
  </si>
  <si>
    <t>80% Sensitive - 20% Resistant</t>
  </si>
  <si>
    <t>60% Sensitive - 40% Resistant</t>
  </si>
  <si>
    <t>0% Sensitive - 100% Resistant</t>
  </si>
  <si>
    <t>Cells Plated</t>
  </si>
  <si>
    <t>Resistant 3</t>
  </si>
  <si>
    <t>Sensitive 3</t>
  </si>
  <si>
    <t>40% Sensitive - 60% Resistant</t>
  </si>
  <si>
    <t>20% Sensitive - 80% Resistant</t>
  </si>
  <si>
    <t>YFP Fluoresence Intensities</t>
  </si>
  <si>
    <t>CFP Fluorescence Intensities</t>
  </si>
  <si>
    <t xml:space="preserve">MCF7 </t>
  </si>
  <si>
    <t>Spheroid Area</t>
  </si>
  <si>
    <t>S</t>
  </si>
  <si>
    <t>R</t>
  </si>
  <si>
    <t>Replicate</t>
  </si>
  <si>
    <t>color_index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</si>
</sst>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1878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29679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2" xfId="0" applyBorder="1" applyAlignment="1">
      <alignment horizontal="right"/>
    </xf>
    <xf numFmtId="0" fontId="0" fillId="2" borderId="2" xfId="0" applyFill="1" applyBorder="1" applyAlignment="1">
      <alignment horizontal="right"/>
    </xf>
    <xf numFmtId="2" fontId="0" fillId="2" borderId="1" xfId="0" applyNumberFormat="1" applyFill="1" applyBorder="1"/>
    <xf numFmtId="0" fontId="0" fillId="0" borderId="3" xfId="0" applyBorder="1" applyAlignment="1">
      <alignment horizontal="right"/>
    </xf>
    <xf numFmtId="0" fontId="0" fillId="0" borderId="8" xfId="0" applyBorder="1"/>
    <xf numFmtId="11" fontId="1" fillId="0" borderId="9" xfId="0" applyNumberFormat="1" applyFont="1" applyBorder="1" applyAlignment="1">
      <alignment horizontal="center" vertical="center" wrapText="1"/>
    </xf>
    <xf numFmtId="0" fontId="0" fillId="0" borderId="0" xfId="0" applyAlignment="1">
      <alignment horizontal="right"/>
    </xf>
    <xf numFmtId="2" fontId="0" fillId="0" borderId="10" xfId="0" applyNumberFormat="1" applyBorder="1"/>
    <xf numFmtId="2" fontId="0" fillId="0" borderId="0" xfId="0" applyNumberFormat="1"/>
    <xf numFmtId="0" fontId="0" fillId="0" borderId="11" xfId="0" applyBorder="1"/>
    <xf numFmtId="0" fontId="0" fillId="0" borderId="14" xfId="0" applyBorder="1"/>
    <xf numFmtId="11" fontId="1" fillId="0" borderId="19" xfId="0" applyNumberFormat="1" applyFont="1" applyBorder="1" applyAlignment="1">
      <alignment horizontal="center" vertical="center" wrapText="1"/>
    </xf>
    <xf numFmtId="11" fontId="1" fillId="0" borderId="20" xfId="0" applyNumberFormat="1" applyFont="1" applyBorder="1" applyAlignment="1">
      <alignment horizontal="center" vertical="center" wrapText="1"/>
    </xf>
    <xf numFmtId="11" fontId="0" fillId="0" borderId="21" xfId="0" applyNumberFormat="1" applyBorder="1"/>
    <xf numFmtId="11" fontId="0" fillId="0" borderId="22" xfId="0" applyNumberFormat="1" applyBorder="1"/>
    <xf numFmtId="11" fontId="1" fillId="0" borderId="23" xfId="0" applyNumberFormat="1" applyFont="1" applyBorder="1" applyAlignment="1">
      <alignment horizontal="center" vertical="center" wrapText="1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11" fontId="0" fillId="0" borderId="27" xfId="0" applyNumberFormat="1" applyBorder="1"/>
    <xf numFmtId="0" fontId="0" fillId="8" borderId="1" xfId="0" applyFill="1" applyBorder="1" applyAlignment="1">
      <alignment vertical="center"/>
    </xf>
    <xf numFmtId="0" fontId="0" fillId="10" borderId="4" xfId="0" applyFill="1" applyBorder="1" applyAlignment="1">
      <alignment vertical="center"/>
    </xf>
    <xf numFmtId="0" fontId="0" fillId="10" borderId="1" xfId="0" applyFill="1" applyBorder="1" applyAlignment="1">
      <alignment vertical="center"/>
    </xf>
    <xf numFmtId="0" fontId="0" fillId="9" borderId="4" xfId="0" applyFill="1" applyBorder="1" applyAlignment="1">
      <alignment vertical="center"/>
    </xf>
    <xf numFmtId="0" fontId="0" fillId="9" borderId="7" xfId="0" applyFill="1" applyBorder="1" applyAlignment="1">
      <alignment vertical="center"/>
    </xf>
    <xf numFmtId="0" fontId="0" fillId="11" borderId="15" xfId="0" applyFill="1" applyBorder="1" applyAlignment="1">
      <alignment vertical="center"/>
    </xf>
    <xf numFmtId="0" fontId="0" fillId="11" borderId="1" xfId="0" applyFill="1" applyBorder="1" applyAlignment="1">
      <alignment vertical="center"/>
    </xf>
    <xf numFmtId="0" fontId="0" fillId="12" borderId="15" xfId="0" applyFill="1" applyBorder="1" applyAlignment="1">
      <alignment vertical="center"/>
    </xf>
    <xf numFmtId="0" fontId="0" fillId="12" borderId="1" xfId="0" applyFill="1" applyBorder="1" applyAlignment="1">
      <alignment vertical="center"/>
    </xf>
    <xf numFmtId="0" fontId="0" fillId="13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19" borderId="1" xfId="0" applyFill="1" applyBorder="1" applyAlignment="1">
      <alignment vertical="center"/>
    </xf>
    <xf numFmtId="0" fontId="0" fillId="18" borderId="1" xfId="0" applyFill="1" applyBorder="1" applyAlignment="1">
      <alignment vertical="center"/>
    </xf>
    <xf numFmtId="0" fontId="0" fillId="17" borderId="1" xfId="0" applyFill="1" applyBorder="1" applyAlignment="1">
      <alignment vertical="center"/>
    </xf>
    <xf numFmtId="0" fontId="0" fillId="16" borderId="1" xfId="0" applyFill="1" applyBorder="1" applyAlignment="1">
      <alignment vertical="center"/>
    </xf>
    <xf numFmtId="0" fontId="0" fillId="15" borderId="1" xfId="0" applyFill="1" applyBorder="1" applyAlignment="1">
      <alignment vertical="center"/>
    </xf>
    <xf numFmtId="0" fontId="0" fillId="14" borderId="1" xfId="0" applyFill="1" applyBorder="1" applyAlignment="1">
      <alignment vertical="center"/>
    </xf>
    <xf numFmtId="0" fontId="1" fillId="0" borderId="9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29" xfId="0" applyBorder="1" applyAlignment="1">
      <alignment horizontal="right"/>
    </xf>
    <xf numFmtId="0" fontId="0" fillId="0" borderId="30" xfId="0" applyBorder="1" applyAlignment="1">
      <alignment horizontal="right"/>
    </xf>
    <xf numFmtId="0" fontId="1" fillId="0" borderId="0" xfId="0" applyFont="1" applyAlignment="1">
      <alignment horizontal="center" vertical="center" wrapText="1"/>
    </xf>
    <xf numFmtId="0" fontId="0" fillId="0" borderId="18" xfId="0" applyBorder="1"/>
    <xf numFmtId="11" fontId="1" fillId="0" borderId="28" xfId="0" applyNumberFormat="1" applyFont="1" applyBorder="1" applyAlignment="1">
      <alignment horizontal="center" vertical="center" wrapText="1"/>
    </xf>
    <xf numFmtId="0" fontId="0" fillId="4" borderId="17" xfId="0" applyFill="1" applyBorder="1" applyAlignment="1">
      <alignment vertical="center"/>
    </xf>
    <xf numFmtId="11" fontId="1" fillId="0" borderId="0" xfId="0" applyNumberFormat="1" applyFont="1" applyAlignment="1">
      <alignment horizontal="center" vertical="center" wrapText="1"/>
    </xf>
    <xf numFmtId="0" fontId="0" fillId="0" borderId="31" xfId="0" applyBorder="1"/>
    <xf numFmtId="11" fontId="1" fillId="0" borderId="1" xfId="0" applyNumberFormat="1" applyFont="1" applyBorder="1" applyAlignment="1">
      <alignment horizontal="center" vertical="center" wrapText="1"/>
    </xf>
    <xf numFmtId="0" fontId="0" fillId="8" borderId="16" xfId="0" applyFill="1" applyBorder="1" applyAlignment="1">
      <alignment vertical="center"/>
    </xf>
    <xf numFmtId="0" fontId="0" fillId="21" borderId="1" xfId="0" applyFill="1" applyBorder="1" applyAlignment="1">
      <alignment vertical="center"/>
    </xf>
    <xf numFmtId="0" fontId="0" fillId="21" borderId="1" xfId="0" applyFill="1" applyBorder="1"/>
    <xf numFmtId="0" fontId="0" fillId="0" borderId="1" xfId="0" applyBorder="1"/>
    <xf numFmtId="0" fontId="0" fillId="0" borderId="1" xfId="0" applyBorder="1" applyAlignment="1">
      <alignment horizontal="right"/>
    </xf>
    <xf numFmtId="11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0" borderId="1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9679F"/>
      <color rgb="FF255D8F"/>
      <color rgb="FF91878F"/>
      <color rgb="FF877D85"/>
      <color rgb="FF80767E"/>
      <color rgb="FF504A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Spheroid area for plated cells of</a:t>
            </a:r>
            <a:r>
              <a:rPr lang="en-US" baseline="0"/>
              <a:t> different ratios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 S - 0 R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'Sens &amp; Resist coculture ratios'!$B$48:$I$48</c:f>
              <c:numCache>
                <c:formatCode>General</c:formatCode>
                <c:ptCount val="8"/>
                <c:pt idx="0">
                  <c:v>500</c:v>
                </c:pt>
                <c:pt idx="1">
                  <c:v>1000</c:v>
                </c:pt>
                <c:pt idx="2">
                  <c:v>2500</c:v>
                </c:pt>
                <c:pt idx="3">
                  <c:v>5000</c:v>
                </c:pt>
                <c:pt idx="4">
                  <c:v>10000</c:v>
                </c:pt>
                <c:pt idx="5">
                  <c:v>25000</c:v>
                </c:pt>
                <c:pt idx="6">
                  <c:v>50000</c:v>
                </c:pt>
                <c:pt idx="7">
                  <c:v>100000</c:v>
                </c:pt>
              </c:numCache>
            </c:numRef>
          </c:cat>
          <c:val>
            <c:numRef>
              <c:f>'Sens &amp; Resist coculture ratios'!$B$7:$I$7</c:f>
              <c:numCache>
                <c:formatCode>0.00</c:formatCode>
                <c:ptCount val="8"/>
                <c:pt idx="0">
                  <c:v>20500</c:v>
                </c:pt>
                <c:pt idx="1">
                  <c:v>41166.666666666664</c:v>
                </c:pt>
                <c:pt idx="2">
                  <c:v>77433.333333333328</c:v>
                </c:pt>
                <c:pt idx="3">
                  <c:v>148000</c:v>
                </c:pt>
                <c:pt idx="4">
                  <c:v>281666.66666666669</c:v>
                </c:pt>
                <c:pt idx="5">
                  <c:v>554333.33333333337</c:v>
                </c:pt>
                <c:pt idx="6">
                  <c:v>816333.33333333337</c:v>
                </c:pt>
                <c:pt idx="7">
                  <c:v>1410000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D0-4294-BCF3-83201A8966AD}"/>
            </c:ext>
          </c:extLst>
        </c:ser>
        <c:ser>
          <c:idx val="2"/>
          <c:order val="2"/>
          <c:tx>
            <c:v>80 S - 20 R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'Sens &amp; Resist coculture ratios'!$B$48:$I$48</c:f>
              <c:numCache>
                <c:formatCode>General</c:formatCode>
                <c:ptCount val="8"/>
                <c:pt idx="0">
                  <c:v>500</c:v>
                </c:pt>
                <c:pt idx="1">
                  <c:v>1000</c:v>
                </c:pt>
                <c:pt idx="2">
                  <c:v>2500</c:v>
                </c:pt>
                <c:pt idx="3">
                  <c:v>5000</c:v>
                </c:pt>
                <c:pt idx="4">
                  <c:v>10000</c:v>
                </c:pt>
                <c:pt idx="5">
                  <c:v>25000</c:v>
                </c:pt>
                <c:pt idx="6">
                  <c:v>50000</c:v>
                </c:pt>
                <c:pt idx="7">
                  <c:v>100000</c:v>
                </c:pt>
              </c:numCache>
            </c:numRef>
          </c:cat>
          <c:val>
            <c:numRef>
              <c:f>'Sens &amp; Resist coculture ratios'!$B$17:$I$17</c:f>
              <c:numCache>
                <c:formatCode>0.00</c:formatCode>
                <c:ptCount val="8"/>
                <c:pt idx="0">
                  <c:v>19100</c:v>
                </c:pt>
                <c:pt idx="1">
                  <c:v>49366.666666666664</c:v>
                </c:pt>
                <c:pt idx="2">
                  <c:v>117666.66666666667</c:v>
                </c:pt>
                <c:pt idx="3">
                  <c:v>190333.33333333334</c:v>
                </c:pt>
                <c:pt idx="4">
                  <c:v>327333.33333333331</c:v>
                </c:pt>
                <c:pt idx="5">
                  <c:v>710666.66666666663</c:v>
                </c:pt>
                <c:pt idx="6">
                  <c:v>1090000</c:v>
                </c:pt>
                <c:pt idx="7">
                  <c:v>1603333.3333333333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ED0-4294-BCF3-83201A8966AD}"/>
            </c:ext>
          </c:extLst>
        </c:ser>
        <c:ser>
          <c:idx val="4"/>
          <c:order val="4"/>
          <c:tx>
            <c:v>60 S - 40 R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'Sens &amp; Resist coculture ratios'!$B$48:$I$48</c:f>
              <c:numCache>
                <c:formatCode>General</c:formatCode>
                <c:ptCount val="8"/>
                <c:pt idx="0">
                  <c:v>500</c:v>
                </c:pt>
                <c:pt idx="1">
                  <c:v>1000</c:v>
                </c:pt>
                <c:pt idx="2">
                  <c:v>2500</c:v>
                </c:pt>
                <c:pt idx="3">
                  <c:v>5000</c:v>
                </c:pt>
                <c:pt idx="4">
                  <c:v>10000</c:v>
                </c:pt>
                <c:pt idx="5">
                  <c:v>25000</c:v>
                </c:pt>
                <c:pt idx="6">
                  <c:v>50000</c:v>
                </c:pt>
                <c:pt idx="7">
                  <c:v>100000</c:v>
                </c:pt>
              </c:numCache>
            </c:numRef>
          </c:cat>
          <c:val>
            <c:numRef>
              <c:f>'Sens &amp; Resist coculture ratios'!$B$27:$I$27</c:f>
              <c:numCache>
                <c:formatCode>0.00</c:formatCode>
                <c:ptCount val="8"/>
                <c:pt idx="0">
                  <c:v>36500</c:v>
                </c:pt>
                <c:pt idx="1">
                  <c:v>78533.333333333328</c:v>
                </c:pt>
                <c:pt idx="2">
                  <c:v>152333.33333333334</c:v>
                </c:pt>
                <c:pt idx="3">
                  <c:v>357666.66666666669</c:v>
                </c:pt>
                <c:pt idx="4">
                  <c:v>515000</c:v>
                </c:pt>
                <c:pt idx="5">
                  <c:v>1044333.3333333334</c:v>
                </c:pt>
                <c:pt idx="6">
                  <c:v>1856666.6666666667</c:v>
                </c:pt>
                <c:pt idx="7">
                  <c:v>2066666.6666666667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ED0-4294-BCF3-83201A8966AD}"/>
            </c:ext>
          </c:extLst>
        </c:ser>
        <c:ser>
          <c:idx val="6"/>
          <c:order val="5"/>
          <c:tx>
            <c:v>40 S - 60 R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'Sens &amp; Resist coculture ratios'!$B$48:$I$48</c:f>
              <c:numCache>
                <c:formatCode>General</c:formatCode>
                <c:ptCount val="8"/>
                <c:pt idx="0">
                  <c:v>500</c:v>
                </c:pt>
                <c:pt idx="1">
                  <c:v>1000</c:v>
                </c:pt>
                <c:pt idx="2">
                  <c:v>2500</c:v>
                </c:pt>
                <c:pt idx="3">
                  <c:v>5000</c:v>
                </c:pt>
                <c:pt idx="4">
                  <c:v>10000</c:v>
                </c:pt>
                <c:pt idx="5">
                  <c:v>25000</c:v>
                </c:pt>
                <c:pt idx="6">
                  <c:v>50000</c:v>
                </c:pt>
                <c:pt idx="7">
                  <c:v>100000</c:v>
                </c:pt>
              </c:numCache>
            </c:numRef>
          </c:cat>
          <c:val>
            <c:numRef>
              <c:f>'Sens &amp; Resist coculture ratios'!$B$36:$I$36</c:f>
              <c:numCache>
                <c:formatCode>0.00</c:formatCode>
                <c:ptCount val="8"/>
                <c:pt idx="0">
                  <c:v>34966.666666666664</c:v>
                </c:pt>
                <c:pt idx="1">
                  <c:v>79266.666666666672</c:v>
                </c:pt>
                <c:pt idx="2">
                  <c:v>200333.33333333334</c:v>
                </c:pt>
                <c:pt idx="3">
                  <c:v>409000</c:v>
                </c:pt>
                <c:pt idx="4">
                  <c:v>676333.33333333337</c:v>
                </c:pt>
                <c:pt idx="5">
                  <c:v>1366666.6666666667</c:v>
                </c:pt>
                <c:pt idx="6">
                  <c:v>2500000</c:v>
                </c:pt>
                <c:pt idx="7">
                  <c:v>2963333.3333333335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A4-4F3D-BA2E-B1CA719192AA}"/>
            </c:ext>
          </c:extLst>
        </c:ser>
        <c:ser>
          <c:idx val="7"/>
          <c:order val="6"/>
          <c:tx>
            <c:v>20 S - 80 R 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'Sens &amp; Resist coculture ratios'!$B$48:$I$48</c:f>
              <c:numCache>
                <c:formatCode>General</c:formatCode>
                <c:ptCount val="8"/>
                <c:pt idx="0">
                  <c:v>500</c:v>
                </c:pt>
                <c:pt idx="1">
                  <c:v>1000</c:v>
                </c:pt>
                <c:pt idx="2">
                  <c:v>2500</c:v>
                </c:pt>
                <c:pt idx="3">
                  <c:v>5000</c:v>
                </c:pt>
                <c:pt idx="4">
                  <c:v>10000</c:v>
                </c:pt>
                <c:pt idx="5">
                  <c:v>25000</c:v>
                </c:pt>
                <c:pt idx="6">
                  <c:v>50000</c:v>
                </c:pt>
                <c:pt idx="7">
                  <c:v>100000</c:v>
                </c:pt>
              </c:numCache>
            </c:numRef>
          </c:cat>
          <c:val>
            <c:numRef>
              <c:f>'Sens &amp; Resist coculture ratios'!$B$44:$I$44</c:f>
              <c:numCache>
                <c:formatCode>0.00</c:formatCode>
                <c:ptCount val="8"/>
                <c:pt idx="0">
                  <c:v>309200</c:v>
                </c:pt>
                <c:pt idx="1">
                  <c:v>103900</c:v>
                </c:pt>
                <c:pt idx="2">
                  <c:v>285000</c:v>
                </c:pt>
                <c:pt idx="3">
                  <c:v>547000</c:v>
                </c:pt>
                <c:pt idx="4">
                  <c:v>869333.33333333337</c:v>
                </c:pt>
                <c:pt idx="5">
                  <c:v>1690000</c:v>
                </c:pt>
                <c:pt idx="6">
                  <c:v>2823333.3333333335</c:v>
                </c:pt>
                <c:pt idx="7">
                  <c:v>3590000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EA4-4F3D-BA2E-B1CA719192AA}"/>
            </c:ext>
          </c:extLst>
        </c:ser>
        <c:ser>
          <c:idx val="5"/>
          <c:order val="7"/>
          <c:tx>
            <c:v>0 S - 100 R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'Sens &amp; Resist coculture ratios'!$B$48:$I$48</c:f>
              <c:numCache>
                <c:formatCode>General</c:formatCode>
                <c:ptCount val="8"/>
                <c:pt idx="0">
                  <c:v>500</c:v>
                </c:pt>
                <c:pt idx="1">
                  <c:v>1000</c:v>
                </c:pt>
                <c:pt idx="2">
                  <c:v>2500</c:v>
                </c:pt>
                <c:pt idx="3">
                  <c:v>5000</c:v>
                </c:pt>
                <c:pt idx="4">
                  <c:v>10000</c:v>
                </c:pt>
                <c:pt idx="5">
                  <c:v>25000</c:v>
                </c:pt>
                <c:pt idx="6">
                  <c:v>50000</c:v>
                </c:pt>
                <c:pt idx="7">
                  <c:v>100000</c:v>
                </c:pt>
              </c:numCache>
            </c:numRef>
          </c:cat>
          <c:val>
            <c:numRef>
              <c:f>'Sens &amp; Resist coculture ratios'!$B$52:$I$52</c:f>
              <c:numCache>
                <c:formatCode>0.00</c:formatCode>
                <c:ptCount val="8"/>
                <c:pt idx="0">
                  <c:v>51533.333333333336</c:v>
                </c:pt>
                <c:pt idx="1">
                  <c:v>159000</c:v>
                </c:pt>
                <c:pt idx="2">
                  <c:v>412666.66666666669</c:v>
                </c:pt>
                <c:pt idx="3">
                  <c:v>784333.33333333337</c:v>
                </c:pt>
                <c:pt idx="4">
                  <c:v>1120000</c:v>
                </c:pt>
                <c:pt idx="5">
                  <c:v>2066666.6666666667</c:v>
                </c:pt>
                <c:pt idx="6">
                  <c:v>3443333.3333333335</c:v>
                </c:pt>
                <c:pt idx="7">
                  <c:v>4416666.666666667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ED0-4294-BCF3-83201A8966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9842128"/>
        <c:axId val="469839832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90 S - 10 R</c:v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'Sens &amp; Resist coculture ratios'!$B$48:$I$48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500</c:v>
                      </c:pt>
                      <c:pt idx="1">
                        <c:v>1000</c:v>
                      </c:pt>
                      <c:pt idx="2">
                        <c:v>2500</c:v>
                      </c:pt>
                      <c:pt idx="3">
                        <c:v>5000</c:v>
                      </c:pt>
                      <c:pt idx="4">
                        <c:v>10000</c:v>
                      </c:pt>
                      <c:pt idx="5">
                        <c:v>25000</c:v>
                      </c:pt>
                      <c:pt idx="6">
                        <c:v>50000</c:v>
                      </c:pt>
                      <c:pt idx="7">
                        <c:v>100000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'Sens &amp; Resist coculture ratios'!#REF!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0ED0-4294-BCF3-83201A8966A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70 S - 30 R</c:v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'Sens &amp; Resist coculture ratios'!$B$48:$I$48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500</c:v>
                      </c:pt>
                      <c:pt idx="1">
                        <c:v>1000</c:v>
                      </c:pt>
                      <c:pt idx="2">
                        <c:v>2500</c:v>
                      </c:pt>
                      <c:pt idx="3">
                        <c:v>5000</c:v>
                      </c:pt>
                      <c:pt idx="4">
                        <c:v>10000</c:v>
                      </c:pt>
                      <c:pt idx="5">
                        <c:v>25000</c:v>
                      </c:pt>
                      <c:pt idx="6">
                        <c:v>50000</c:v>
                      </c:pt>
                      <c:pt idx="7">
                        <c:v>100000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'Sens &amp; Resist coculture ratios'!#REF!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ED0-4294-BCF3-83201A8966AD}"/>
                  </c:ext>
                </c:extLst>
              </c15:ser>
            </c15:filteredLineSeries>
          </c:ext>
        </c:extLst>
      </c:lineChart>
      <c:catAx>
        <c:axId val="469842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Cells Plated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839832"/>
        <c:crosses val="autoZero"/>
        <c:auto val="1"/>
        <c:lblAlgn val="ctr"/>
        <c:lblOffset val="100"/>
        <c:noMultiLvlLbl val="0"/>
      </c:catAx>
      <c:valAx>
        <c:axId val="469839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Spheroid 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842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Cell count to spheroid area post</a:t>
            </a:r>
            <a:r>
              <a:rPr lang="en-US" baseline="0"/>
              <a:t> 24H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'Sensitive &amp; Resist monocultu'!$G$4:$G$11</c:f>
              <c:numCache>
                <c:formatCode>General</c:formatCode>
                <c:ptCount val="8"/>
                <c:pt idx="0">
                  <c:v>500</c:v>
                </c:pt>
                <c:pt idx="1">
                  <c:v>1000</c:v>
                </c:pt>
                <c:pt idx="2">
                  <c:v>2500</c:v>
                </c:pt>
                <c:pt idx="3">
                  <c:v>5000</c:v>
                </c:pt>
                <c:pt idx="4">
                  <c:v>10000</c:v>
                </c:pt>
                <c:pt idx="5">
                  <c:v>25000</c:v>
                </c:pt>
                <c:pt idx="6">
                  <c:v>50000</c:v>
                </c:pt>
                <c:pt idx="7">
                  <c:v>100000</c:v>
                </c:pt>
              </c:numCache>
            </c:numRef>
          </c:xVal>
          <c:yVal>
            <c:numRef>
              <c:f>'Sensitive &amp; Resist monocultu'!$K$4:$K$11</c:f>
              <c:numCache>
                <c:formatCode>0.00E+00</c:formatCode>
                <c:ptCount val="8"/>
                <c:pt idx="0">
                  <c:v>20500</c:v>
                </c:pt>
                <c:pt idx="1">
                  <c:v>41166.666666666664</c:v>
                </c:pt>
                <c:pt idx="2">
                  <c:v>77433.333333333328</c:v>
                </c:pt>
                <c:pt idx="3">
                  <c:v>148000</c:v>
                </c:pt>
                <c:pt idx="4">
                  <c:v>281666.66666666669</c:v>
                </c:pt>
                <c:pt idx="5">
                  <c:v>554333.33333333337</c:v>
                </c:pt>
                <c:pt idx="6">
                  <c:v>816333.33333333337</c:v>
                </c:pt>
                <c:pt idx="7">
                  <c:v>1410000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A1-41DD-9965-65B5BEC80C9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'Sensitive &amp; Resist monocultu'!$G$4:$G$11</c:f>
              <c:numCache>
                <c:formatCode>General</c:formatCode>
                <c:ptCount val="8"/>
                <c:pt idx="0">
                  <c:v>500</c:v>
                </c:pt>
                <c:pt idx="1">
                  <c:v>1000</c:v>
                </c:pt>
                <c:pt idx="2">
                  <c:v>2500</c:v>
                </c:pt>
                <c:pt idx="3">
                  <c:v>5000</c:v>
                </c:pt>
                <c:pt idx="4">
                  <c:v>10000</c:v>
                </c:pt>
                <c:pt idx="5">
                  <c:v>25000</c:v>
                </c:pt>
                <c:pt idx="6">
                  <c:v>50000</c:v>
                </c:pt>
                <c:pt idx="7">
                  <c:v>100000</c:v>
                </c:pt>
              </c:numCache>
            </c:numRef>
          </c:xVal>
          <c:yVal>
            <c:numRef>
              <c:f>'Sensitive &amp; Resist monocultu'!$O$4:$O$11</c:f>
              <c:numCache>
                <c:formatCode>0.00E+00</c:formatCode>
                <c:ptCount val="8"/>
                <c:pt idx="0">
                  <c:v>51533.333333333336</c:v>
                </c:pt>
                <c:pt idx="1">
                  <c:v>159000</c:v>
                </c:pt>
                <c:pt idx="2">
                  <c:v>412666.66666666669</c:v>
                </c:pt>
                <c:pt idx="3">
                  <c:v>784333.33333333337</c:v>
                </c:pt>
                <c:pt idx="4">
                  <c:v>1120000</c:v>
                </c:pt>
                <c:pt idx="5">
                  <c:v>2066666.6666666667</c:v>
                </c:pt>
                <c:pt idx="6">
                  <c:v>3443333.3333333335</c:v>
                </c:pt>
                <c:pt idx="7">
                  <c:v>4416666.666666667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A1-41DD-9965-65B5BEC80C94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'Sensitive &amp; Resist monocultu'!$G$4:$G$11</c:f>
              <c:numCache>
                <c:formatCode>General</c:formatCode>
                <c:ptCount val="8"/>
                <c:pt idx="0">
                  <c:v>500</c:v>
                </c:pt>
                <c:pt idx="1">
                  <c:v>1000</c:v>
                </c:pt>
                <c:pt idx="2">
                  <c:v>2500</c:v>
                </c:pt>
                <c:pt idx="3">
                  <c:v>5000</c:v>
                </c:pt>
                <c:pt idx="4">
                  <c:v>10000</c:v>
                </c:pt>
                <c:pt idx="5">
                  <c:v>25000</c:v>
                </c:pt>
                <c:pt idx="6">
                  <c:v>50000</c:v>
                </c:pt>
                <c:pt idx="7">
                  <c:v>100000</c:v>
                </c:pt>
              </c:numCache>
            </c:numRef>
          </c:xVal>
          <c:yVal>
            <c:numRef>
              <c:f>'Sensitive &amp; Resist monocultu'!#REF!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6A1-41DD-9965-65B5BEC80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5870656"/>
        <c:axId val="462191208"/>
      </c:scatterChart>
      <c:valAx>
        <c:axId val="465870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191208"/>
        <c:crosses val="autoZero"/>
        <c:crossBetween val="midCat"/>
      </c:valAx>
      <c:valAx>
        <c:axId val="462191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870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Spheroid area for plated cells of</a:t>
            </a:r>
            <a:r>
              <a:rPr lang="en-US" baseline="0"/>
              <a:t> different ratios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 S - 0 R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'Sens &amp; Resist coculture ratios'!$B$48:$I$48</c:f>
              <c:numCache>
                <c:formatCode>General</c:formatCode>
                <c:ptCount val="8"/>
                <c:pt idx="0">
                  <c:v>500</c:v>
                </c:pt>
                <c:pt idx="1">
                  <c:v>1000</c:v>
                </c:pt>
                <c:pt idx="2">
                  <c:v>2500</c:v>
                </c:pt>
                <c:pt idx="3">
                  <c:v>5000</c:v>
                </c:pt>
                <c:pt idx="4">
                  <c:v>10000</c:v>
                </c:pt>
                <c:pt idx="5">
                  <c:v>25000</c:v>
                </c:pt>
                <c:pt idx="6">
                  <c:v>50000</c:v>
                </c:pt>
                <c:pt idx="7">
                  <c:v>100000</c:v>
                </c:pt>
              </c:numCache>
            </c:numRef>
          </c:cat>
          <c:val>
            <c:numRef>
              <c:f>'Sens &amp; Resist coculture ratios'!$B$7:$I$7</c:f>
              <c:numCache>
                <c:formatCode>0.00</c:formatCode>
                <c:ptCount val="8"/>
                <c:pt idx="0">
                  <c:v>20500</c:v>
                </c:pt>
                <c:pt idx="1">
                  <c:v>41166.666666666664</c:v>
                </c:pt>
                <c:pt idx="2">
                  <c:v>77433.333333333328</c:v>
                </c:pt>
                <c:pt idx="3">
                  <c:v>148000</c:v>
                </c:pt>
                <c:pt idx="4">
                  <c:v>281666.66666666669</c:v>
                </c:pt>
                <c:pt idx="5">
                  <c:v>554333.33333333337</c:v>
                </c:pt>
                <c:pt idx="6">
                  <c:v>816333.33333333337</c:v>
                </c:pt>
                <c:pt idx="7">
                  <c:v>1410000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7A-4C26-942D-60A93F791D02}"/>
            </c:ext>
          </c:extLst>
        </c:ser>
        <c:ser>
          <c:idx val="2"/>
          <c:order val="2"/>
          <c:tx>
            <c:v>80 S - 20 R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'Sens &amp; Resist coculture ratios'!$B$48:$I$48</c:f>
              <c:numCache>
                <c:formatCode>General</c:formatCode>
                <c:ptCount val="8"/>
                <c:pt idx="0">
                  <c:v>500</c:v>
                </c:pt>
                <c:pt idx="1">
                  <c:v>1000</c:v>
                </c:pt>
                <c:pt idx="2">
                  <c:v>2500</c:v>
                </c:pt>
                <c:pt idx="3">
                  <c:v>5000</c:v>
                </c:pt>
                <c:pt idx="4">
                  <c:v>10000</c:v>
                </c:pt>
                <c:pt idx="5">
                  <c:v>25000</c:v>
                </c:pt>
                <c:pt idx="6">
                  <c:v>50000</c:v>
                </c:pt>
                <c:pt idx="7">
                  <c:v>100000</c:v>
                </c:pt>
              </c:numCache>
            </c:numRef>
          </c:cat>
          <c:val>
            <c:numRef>
              <c:f>'Sens &amp; Resist coculture ratios'!$B$17:$I$17</c:f>
              <c:numCache>
                <c:formatCode>0.00</c:formatCode>
                <c:ptCount val="8"/>
                <c:pt idx="0">
                  <c:v>19100</c:v>
                </c:pt>
                <c:pt idx="1">
                  <c:v>49366.666666666664</c:v>
                </c:pt>
                <c:pt idx="2">
                  <c:v>117666.66666666667</c:v>
                </c:pt>
                <c:pt idx="3">
                  <c:v>190333.33333333334</c:v>
                </c:pt>
                <c:pt idx="4">
                  <c:v>327333.33333333331</c:v>
                </c:pt>
                <c:pt idx="5">
                  <c:v>710666.66666666663</c:v>
                </c:pt>
                <c:pt idx="6">
                  <c:v>1090000</c:v>
                </c:pt>
                <c:pt idx="7">
                  <c:v>1603333.3333333333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7A-4C26-942D-60A93F791D02}"/>
            </c:ext>
          </c:extLst>
        </c:ser>
        <c:ser>
          <c:idx val="4"/>
          <c:order val="4"/>
          <c:tx>
            <c:v>60 S - 40 R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'Sens &amp; Resist coculture ratios'!$B$48:$I$48</c:f>
              <c:numCache>
                <c:formatCode>General</c:formatCode>
                <c:ptCount val="8"/>
                <c:pt idx="0">
                  <c:v>500</c:v>
                </c:pt>
                <c:pt idx="1">
                  <c:v>1000</c:v>
                </c:pt>
                <c:pt idx="2">
                  <c:v>2500</c:v>
                </c:pt>
                <c:pt idx="3">
                  <c:v>5000</c:v>
                </c:pt>
                <c:pt idx="4">
                  <c:v>10000</c:v>
                </c:pt>
                <c:pt idx="5">
                  <c:v>25000</c:v>
                </c:pt>
                <c:pt idx="6">
                  <c:v>50000</c:v>
                </c:pt>
                <c:pt idx="7">
                  <c:v>100000</c:v>
                </c:pt>
              </c:numCache>
            </c:numRef>
          </c:cat>
          <c:val>
            <c:numRef>
              <c:f>'Sens &amp; Resist coculture ratios'!$B$27:$I$27</c:f>
              <c:numCache>
                <c:formatCode>0.00</c:formatCode>
                <c:ptCount val="8"/>
                <c:pt idx="0">
                  <c:v>36500</c:v>
                </c:pt>
                <c:pt idx="1">
                  <c:v>78533.333333333328</c:v>
                </c:pt>
                <c:pt idx="2">
                  <c:v>152333.33333333334</c:v>
                </c:pt>
                <c:pt idx="3">
                  <c:v>357666.66666666669</c:v>
                </c:pt>
                <c:pt idx="4">
                  <c:v>515000</c:v>
                </c:pt>
                <c:pt idx="5">
                  <c:v>1044333.3333333334</c:v>
                </c:pt>
                <c:pt idx="6">
                  <c:v>1856666.6666666667</c:v>
                </c:pt>
                <c:pt idx="7">
                  <c:v>2066666.6666666667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7A-4C26-942D-60A93F791D02}"/>
            </c:ext>
          </c:extLst>
        </c:ser>
        <c:ser>
          <c:idx val="6"/>
          <c:order val="5"/>
          <c:tx>
            <c:v>40 S - 60 R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'Sens &amp; Resist coculture ratios'!$B$48:$I$48</c:f>
              <c:numCache>
                <c:formatCode>General</c:formatCode>
                <c:ptCount val="8"/>
                <c:pt idx="0">
                  <c:v>500</c:v>
                </c:pt>
                <c:pt idx="1">
                  <c:v>1000</c:v>
                </c:pt>
                <c:pt idx="2">
                  <c:v>2500</c:v>
                </c:pt>
                <c:pt idx="3">
                  <c:v>5000</c:v>
                </c:pt>
                <c:pt idx="4">
                  <c:v>10000</c:v>
                </c:pt>
                <c:pt idx="5">
                  <c:v>25000</c:v>
                </c:pt>
                <c:pt idx="6">
                  <c:v>50000</c:v>
                </c:pt>
                <c:pt idx="7">
                  <c:v>100000</c:v>
                </c:pt>
              </c:numCache>
            </c:numRef>
          </c:cat>
          <c:val>
            <c:numRef>
              <c:f>'Sens &amp; Resist coculture ratios'!$B$36:$I$36</c:f>
              <c:numCache>
                <c:formatCode>0.00</c:formatCode>
                <c:ptCount val="8"/>
                <c:pt idx="0">
                  <c:v>34966.666666666664</c:v>
                </c:pt>
                <c:pt idx="1">
                  <c:v>79266.666666666672</c:v>
                </c:pt>
                <c:pt idx="2">
                  <c:v>200333.33333333334</c:v>
                </c:pt>
                <c:pt idx="3">
                  <c:v>409000</c:v>
                </c:pt>
                <c:pt idx="4">
                  <c:v>676333.33333333337</c:v>
                </c:pt>
                <c:pt idx="5">
                  <c:v>1366666.6666666667</c:v>
                </c:pt>
                <c:pt idx="6">
                  <c:v>2500000</c:v>
                </c:pt>
                <c:pt idx="7">
                  <c:v>2963333.3333333335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7A-4C26-942D-60A93F791D02}"/>
            </c:ext>
          </c:extLst>
        </c:ser>
        <c:ser>
          <c:idx val="7"/>
          <c:order val="6"/>
          <c:tx>
            <c:v>20 S - 80 R 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'Sens &amp; Resist coculture ratios'!$B$48:$I$48</c:f>
              <c:numCache>
                <c:formatCode>General</c:formatCode>
                <c:ptCount val="8"/>
                <c:pt idx="0">
                  <c:v>500</c:v>
                </c:pt>
                <c:pt idx="1">
                  <c:v>1000</c:v>
                </c:pt>
                <c:pt idx="2">
                  <c:v>2500</c:v>
                </c:pt>
                <c:pt idx="3">
                  <c:v>5000</c:v>
                </c:pt>
                <c:pt idx="4">
                  <c:v>10000</c:v>
                </c:pt>
                <c:pt idx="5">
                  <c:v>25000</c:v>
                </c:pt>
                <c:pt idx="6">
                  <c:v>50000</c:v>
                </c:pt>
                <c:pt idx="7">
                  <c:v>100000</c:v>
                </c:pt>
              </c:numCache>
            </c:numRef>
          </c:cat>
          <c:val>
            <c:numRef>
              <c:f>'Sens &amp; Resist coculture ratios'!$B$44:$I$44</c:f>
              <c:numCache>
                <c:formatCode>0.00</c:formatCode>
                <c:ptCount val="8"/>
                <c:pt idx="0">
                  <c:v>309200</c:v>
                </c:pt>
                <c:pt idx="1">
                  <c:v>103900</c:v>
                </c:pt>
                <c:pt idx="2">
                  <c:v>285000</c:v>
                </c:pt>
                <c:pt idx="3">
                  <c:v>547000</c:v>
                </c:pt>
                <c:pt idx="4">
                  <c:v>869333.33333333337</c:v>
                </c:pt>
                <c:pt idx="5">
                  <c:v>1690000</c:v>
                </c:pt>
                <c:pt idx="6">
                  <c:v>2823333.3333333335</c:v>
                </c:pt>
                <c:pt idx="7">
                  <c:v>3590000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17A-4C26-942D-60A93F791D02}"/>
            </c:ext>
          </c:extLst>
        </c:ser>
        <c:ser>
          <c:idx val="5"/>
          <c:order val="7"/>
          <c:tx>
            <c:v>0 S - 100 R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'Sens &amp; Resist coculture ratios'!$B$48:$I$48</c:f>
              <c:numCache>
                <c:formatCode>General</c:formatCode>
                <c:ptCount val="8"/>
                <c:pt idx="0">
                  <c:v>500</c:v>
                </c:pt>
                <c:pt idx="1">
                  <c:v>1000</c:v>
                </c:pt>
                <c:pt idx="2">
                  <c:v>2500</c:v>
                </c:pt>
                <c:pt idx="3">
                  <c:v>5000</c:v>
                </c:pt>
                <c:pt idx="4">
                  <c:v>10000</c:v>
                </c:pt>
                <c:pt idx="5">
                  <c:v>25000</c:v>
                </c:pt>
                <c:pt idx="6">
                  <c:v>50000</c:v>
                </c:pt>
                <c:pt idx="7">
                  <c:v>100000</c:v>
                </c:pt>
              </c:numCache>
            </c:numRef>
          </c:cat>
          <c:val>
            <c:numRef>
              <c:f>'Sens &amp; Resist coculture ratios'!$B$52:$I$52</c:f>
              <c:numCache>
                <c:formatCode>0.00</c:formatCode>
                <c:ptCount val="8"/>
                <c:pt idx="0">
                  <c:v>51533.333333333336</c:v>
                </c:pt>
                <c:pt idx="1">
                  <c:v>159000</c:v>
                </c:pt>
                <c:pt idx="2">
                  <c:v>412666.66666666669</c:v>
                </c:pt>
                <c:pt idx="3">
                  <c:v>784333.33333333337</c:v>
                </c:pt>
                <c:pt idx="4">
                  <c:v>1120000</c:v>
                </c:pt>
                <c:pt idx="5">
                  <c:v>2066666.6666666667</c:v>
                </c:pt>
                <c:pt idx="6">
                  <c:v>3443333.3333333335</c:v>
                </c:pt>
                <c:pt idx="7">
                  <c:v>4416666.666666667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17A-4C26-942D-60A93F791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9842128"/>
        <c:axId val="469839832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90 S - 10 R</c:v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'Sens &amp; Resist coculture ratios'!$B$48:$I$48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500</c:v>
                      </c:pt>
                      <c:pt idx="1">
                        <c:v>1000</c:v>
                      </c:pt>
                      <c:pt idx="2">
                        <c:v>2500</c:v>
                      </c:pt>
                      <c:pt idx="3">
                        <c:v>5000</c:v>
                      </c:pt>
                      <c:pt idx="4">
                        <c:v>10000</c:v>
                      </c:pt>
                      <c:pt idx="5">
                        <c:v>25000</c:v>
                      </c:pt>
                      <c:pt idx="6">
                        <c:v>50000</c:v>
                      </c:pt>
                      <c:pt idx="7">
                        <c:v>100000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'Sens &amp; Resist coculture ratios'!#REF!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717A-4C26-942D-60A93F791D0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70 S - 30 R</c:v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'Sens &amp; Resist coculture ratios'!$B$48:$I$48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500</c:v>
                      </c:pt>
                      <c:pt idx="1">
                        <c:v>1000</c:v>
                      </c:pt>
                      <c:pt idx="2">
                        <c:v>2500</c:v>
                      </c:pt>
                      <c:pt idx="3">
                        <c:v>5000</c:v>
                      </c:pt>
                      <c:pt idx="4">
                        <c:v>10000</c:v>
                      </c:pt>
                      <c:pt idx="5">
                        <c:v>25000</c:v>
                      </c:pt>
                      <c:pt idx="6">
                        <c:v>50000</c:v>
                      </c:pt>
                      <c:pt idx="7">
                        <c:v>100000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'Sens &amp; Resist coculture ratios'!#REF!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17A-4C26-942D-60A93F791D02}"/>
                  </c:ext>
                </c:extLst>
              </c15:ser>
            </c15:filteredLineSeries>
          </c:ext>
        </c:extLst>
      </c:lineChart>
      <c:catAx>
        <c:axId val="469842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Cells Plated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839832"/>
        <c:crosses val="autoZero"/>
        <c:auto val="1"/>
        <c:lblAlgn val="ctr"/>
        <c:lblOffset val="100"/>
        <c:noMultiLvlLbl val="0"/>
      </c:catAx>
      <c:valAx>
        <c:axId val="469839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Spheroid 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842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245428</xdr:colOff>
      <xdr:row>61</xdr:row>
      <xdr:rowOff>96945</xdr:rowOff>
    </xdr:from>
    <xdr:to>
      <xdr:col>12</xdr:col>
      <xdr:colOff>441325</xdr:colOff>
      <xdr:row>89</xdr:row>
      <xdr:rowOff>93345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69F9AD4-F184-4660-84A5-6A6B84F787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485775</xdr:colOff>
      <xdr:row>11</xdr:row>
      <xdr:rowOff>85724</xdr:rowOff>
    </xdr:from>
    <xdr:to>
      <xdr:col>16</xdr:col>
      <xdr:colOff>409575</xdr:colOff>
      <xdr:row>33</xdr:row>
      <xdr:rowOff>47625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17039</xdr:colOff>
      <xdr:row>5</xdr:row>
      <xdr:rowOff>155047</xdr:rowOff>
    </xdr:from>
    <xdr:to>
      <xdr:col>27</xdr:col>
      <xdr:colOff>414813</xdr:colOff>
      <xdr:row>32</xdr:row>
      <xdr:rowOff>168593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C61DC4-B7BD-452C-AD3C-00D7993BA4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5F3BE-5F0B-F344-B59E-393EDF6DF28E}">
  <dimension ref="A1:T20"/>
  <sheetViews>
    <sheetView tabSelected="1" workbookViewId="0">
      <selection sqref="A1:T22"/>
    </sheetView>
  </sheetViews>
  <sheetFormatPr baseColWidth="10" defaultRowHeight="15" x14ac:dyDescent="0.2"/>
  <cols>
    <col min="3" max="3" width="9.1640625" customWidth="1"/>
    <col min="4" max="5" width="11.6640625" bestFit="1" customWidth="1"/>
    <col min="6" max="8" width="12.6640625" bestFit="1" customWidth="1"/>
    <col min="9" max="11" width="13.6640625" bestFit="1" customWidth="1"/>
    <col min="12" max="12" width="11.6640625" bestFit="1" customWidth="1"/>
    <col min="13" max="15" width="12.6640625" bestFit="1" customWidth="1"/>
    <col min="16" max="18" width="13.6640625" bestFit="1" customWidth="1"/>
    <col min="19" max="19" width="14.6640625" bestFit="1" customWidth="1"/>
    <col min="20" max="20" width="10.83203125" style="60"/>
  </cols>
  <sheetData>
    <row r="1" spans="1:20" x14ac:dyDescent="0.2">
      <c r="D1" s="62" t="s">
        <v>18</v>
      </c>
      <c r="E1" s="62"/>
      <c r="F1" s="62"/>
      <c r="G1" s="62"/>
      <c r="H1" s="62"/>
      <c r="I1" s="62"/>
      <c r="J1" s="62"/>
      <c r="K1" s="62"/>
      <c r="L1" s="63" t="s">
        <v>19</v>
      </c>
      <c r="M1" s="63"/>
      <c r="N1" s="63"/>
      <c r="O1" s="63"/>
      <c r="P1" s="63"/>
      <c r="Q1" s="63"/>
      <c r="R1" s="63"/>
      <c r="S1" s="63"/>
    </row>
    <row r="2" spans="1:20" x14ac:dyDescent="0.2">
      <c r="A2" s="56" t="s">
        <v>22</v>
      </c>
      <c r="B2" s="56" t="s">
        <v>23</v>
      </c>
      <c r="C2" s="55" t="s">
        <v>24</v>
      </c>
      <c r="D2" s="56">
        <v>500</v>
      </c>
      <c r="E2" s="56">
        <v>1000</v>
      </c>
      <c r="F2" s="56">
        <v>2500</v>
      </c>
      <c r="G2" s="56">
        <v>5000</v>
      </c>
      <c r="H2" s="56">
        <v>10000</v>
      </c>
      <c r="I2" s="56">
        <v>25000</v>
      </c>
      <c r="J2" s="56">
        <v>50000</v>
      </c>
      <c r="K2" s="56">
        <v>100000</v>
      </c>
      <c r="L2" s="56">
        <v>500</v>
      </c>
      <c r="M2" s="56">
        <v>1000</v>
      </c>
      <c r="N2" s="56">
        <v>2500</v>
      </c>
      <c r="O2" s="56">
        <v>5000</v>
      </c>
      <c r="P2" s="56">
        <v>10000</v>
      </c>
      <c r="Q2" s="56">
        <v>25000</v>
      </c>
      <c r="R2" s="56">
        <v>50000</v>
      </c>
      <c r="S2" s="56">
        <v>100000</v>
      </c>
      <c r="T2" s="60" t="s">
        <v>25</v>
      </c>
    </row>
    <row r="3" spans="1:20" x14ac:dyDescent="0.2">
      <c r="A3" s="57">
        <v>100</v>
      </c>
      <c r="B3" s="57">
        <v>0</v>
      </c>
      <c r="C3" s="58">
        <v>1</v>
      </c>
      <c r="D3" s="44">
        <v>35910912</v>
      </c>
      <c r="E3" s="44">
        <v>71822957</v>
      </c>
      <c r="F3" s="44">
        <v>168977524</v>
      </c>
      <c r="G3" s="44">
        <v>356823220</v>
      </c>
      <c r="H3" s="44">
        <v>745755597</v>
      </c>
      <c r="I3" s="44">
        <v>1828943695</v>
      </c>
      <c r="J3" s="44">
        <v>3650207848</v>
      </c>
      <c r="K3" s="44">
        <v>6063619066</v>
      </c>
      <c r="L3" s="59">
        <f>0</f>
        <v>0</v>
      </c>
      <c r="M3" s="59">
        <f>0</f>
        <v>0</v>
      </c>
      <c r="N3" s="59">
        <f>0</f>
        <v>0</v>
      </c>
      <c r="O3" s="59">
        <f>0</f>
        <v>0</v>
      </c>
      <c r="P3" s="59">
        <f>0</f>
        <v>0</v>
      </c>
      <c r="Q3" s="59">
        <f>0</f>
        <v>0</v>
      </c>
      <c r="R3" s="59">
        <f>0</f>
        <v>0</v>
      </c>
      <c r="S3" s="59">
        <f>0</f>
        <v>0</v>
      </c>
      <c r="T3" s="61">
        <v>1</v>
      </c>
    </row>
    <row r="4" spans="1:20" x14ac:dyDescent="0.2">
      <c r="A4" s="57">
        <v>100</v>
      </c>
      <c r="B4" s="57">
        <v>0</v>
      </c>
      <c r="C4" s="58">
        <v>2</v>
      </c>
      <c r="D4" s="44">
        <v>29851503</v>
      </c>
      <c r="E4" s="44">
        <v>93897171</v>
      </c>
      <c r="F4" s="44">
        <v>207815462</v>
      </c>
      <c r="G4" s="44">
        <v>404936887</v>
      </c>
      <c r="H4" s="44">
        <v>757563718</v>
      </c>
      <c r="I4" s="44">
        <v>1844303438</v>
      </c>
      <c r="J4" s="44">
        <v>3541011755</v>
      </c>
      <c r="K4" s="44">
        <v>6230380865</v>
      </c>
      <c r="L4" s="59">
        <v>0</v>
      </c>
      <c r="M4" s="59">
        <v>0</v>
      </c>
      <c r="N4" s="59">
        <v>0</v>
      </c>
      <c r="O4" s="59">
        <v>0</v>
      </c>
      <c r="P4" s="59">
        <v>0</v>
      </c>
      <c r="Q4" s="59">
        <v>0</v>
      </c>
      <c r="R4" s="59">
        <v>0</v>
      </c>
      <c r="S4" s="59">
        <v>0</v>
      </c>
      <c r="T4" s="61">
        <v>1</v>
      </c>
    </row>
    <row r="5" spans="1:20" x14ac:dyDescent="0.2">
      <c r="A5" s="57">
        <v>100</v>
      </c>
      <c r="B5" s="57">
        <v>0</v>
      </c>
      <c r="C5" s="58">
        <v>3</v>
      </c>
      <c r="D5" s="44">
        <v>37665976</v>
      </c>
      <c r="E5" s="44">
        <v>77524700</v>
      </c>
      <c r="F5" s="44">
        <v>178808836</v>
      </c>
      <c r="G5" s="44">
        <v>393128104</v>
      </c>
      <c r="H5" s="44">
        <v>735595098</v>
      </c>
      <c r="I5" s="44">
        <v>1817717620</v>
      </c>
      <c r="J5" s="44">
        <v>3227558364</v>
      </c>
      <c r="K5" s="44">
        <v>6114071088</v>
      </c>
      <c r="L5" s="59">
        <v>0</v>
      </c>
      <c r="M5" s="59">
        <v>0</v>
      </c>
      <c r="N5" s="59">
        <v>0</v>
      </c>
      <c r="O5" s="59">
        <v>0</v>
      </c>
      <c r="P5" s="59">
        <v>0</v>
      </c>
      <c r="Q5" s="59">
        <v>0</v>
      </c>
      <c r="R5" s="59">
        <v>0</v>
      </c>
      <c r="S5" s="59">
        <v>0</v>
      </c>
      <c r="T5" s="61">
        <v>1</v>
      </c>
    </row>
    <row r="6" spans="1:20" x14ac:dyDescent="0.2">
      <c r="A6" s="57">
        <v>80</v>
      </c>
      <c r="B6" s="57">
        <f>100-A6</f>
        <v>20</v>
      </c>
      <c r="C6" s="58">
        <v>1</v>
      </c>
      <c r="D6" s="44">
        <v>23678767</v>
      </c>
      <c r="E6" s="44">
        <v>52849873</v>
      </c>
      <c r="F6" s="44">
        <v>131085813</v>
      </c>
      <c r="G6" s="44">
        <v>274268481</v>
      </c>
      <c r="H6" s="44">
        <v>544103387</v>
      </c>
      <c r="I6" s="44">
        <v>1430258676</v>
      </c>
      <c r="J6" s="44">
        <v>2519702918</v>
      </c>
      <c r="K6" s="44">
        <v>4813612615</v>
      </c>
      <c r="L6" s="44">
        <v>7218587</v>
      </c>
      <c r="M6" s="44">
        <v>20632160</v>
      </c>
      <c r="N6" s="44">
        <v>93564227</v>
      </c>
      <c r="O6" s="44">
        <v>153744361</v>
      </c>
      <c r="P6" s="44">
        <v>264187108</v>
      </c>
      <c r="Q6" s="44">
        <v>573467483</v>
      </c>
      <c r="R6" s="44">
        <v>1401759411</v>
      </c>
      <c r="S6" s="44">
        <v>2398461511</v>
      </c>
      <c r="T6" s="44">
        <v>2</v>
      </c>
    </row>
    <row r="7" spans="1:20" x14ac:dyDescent="0.2">
      <c r="A7" s="57">
        <v>80</v>
      </c>
      <c r="B7" s="57">
        <f t="shared" ref="B7:B20" si="0">100-A7</f>
        <v>20</v>
      </c>
      <c r="C7" s="58">
        <v>2</v>
      </c>
      <c r="D7" s="44">
        <v>27810902</v>
      </c>
      <c r="E7" s="44">
        <v>61904364</v>
      </c>
      <c r="F7" s="44">
        <v>142119268</v>
      </c>
      <c r="G7" s="44">
        <v>181397931</v>
      </c>
      <c r="H7" s="44">
        <v>573920867</v>
      </c>
      <c r="I7" s="44">
        <v>1510709915</v>
      </c>
      <c r="J7" s="44">
        <v>2739875232</v>
      </c>
      <c r="K7" s="44">
        <v>4914435176</v>
      </c>
      <c r="L7" s="44">
        <v>8867905</v>
      </c>
      <c r="M7" s="44">
        <v>27055186</v>
      </c>
      <c r="N7" s="44">
        <v>77473026</v>
      </c>
      <c r="O7" s="44">
        <v>89397083</v>
      </c>
      <c r="P7" s="44">
        <v>283907595</v>
      </c>
      <c r="Q7" s="44">
        <v>685446522</v>
      </c>
      <c r="R7" s="44">
        <v>1513925890</v>
      </c>
      <c r="S7" s="44">
        <v>2449552550</v>
      </c>
      <c r="T7" s="44">
        <v>2</v>
      </c>
    </row>
    <row r="8" spans="1:20" x14ac:dyDescent="0.2">
      <c r="A8" s="57">
        <v>80</v>
      </c>
      <c r="B8" s="57">
        <f t="shared" si="0"/>
        <v>20</v>
      </c>
      <c r="C8" s="58">
        <v>3</v>
      </c>
      <c r="D8" s="44">
        <v>28125076</v>
      </c>
      <c r="E8" s="44">
        <v>74287821</v>
      </c>
      <c r="F8" s="44">
        <v>152550914</v>
      </c>
      <c r="G8" s="44">
        <v>300894061</v>
      </c>
      <c r="H8" s="44">
        <v>584546503</v>
      </c>
      <c r="I8" s="44">
        <v>1553142605</v>
      </c>
      <c r="J8" s="44">
        <v>2791362081</v>
      </c>
      <c r="K8" s="44">
        <v>5069386302</v>
      </c>
      <c r="L8" s="44">
        <v>6910760</v>
      </c>
      <c r="M8" s="44">
        <v>47817514</v>
      </c>
      <c r="N8" s="44">
        <v>79057553</v>
      </c>
      <c r="O8" s="44">
        <v>176062926</v>
      </c>
      <c r="P8" s="44">
        <v>308421409</v>
      </c>
      <c r="Q8" s="44">
        <v>686707143</v>
      </c>
      <c r="R8" s="44">
        <v>1602688419</v>
      </c>
      <c r="S8" s="44">
        <v>2541885848</v>
      </c>
      <c r="T8" s="44">
        <v>2</v>
      </c>
    </row>
    <row r="9" spans="1:20" x14ac:dyDescent="0.2">
      <c r="A9" s="57">
        <v>60</v>
      </c>
      <c r="B9" s="57">
        <f t="shared" si="0"/>
        <v>40</v>
      </c>
      <c r="C9" s="58">
        <v>1</v>
      </c>
      <c r="D9" s="44">
        <v>23961220</v>
      </c>
      <c r="E9" s="44">
        <v>42853219</v>
      </c>
      <c r="F9" s="44">
        <v>115585812</v>
      </c>
      <c r="G9" s="44">
        <v>226382858</v>
      </c>
      <c r="H9" s="44">
        <v>439779852</v>
      </c>
      <c r="I9" s="44">
        <v>1137375487</v>
      </c>
      <c r="J9" s="44">
        <v>2225725255</v>
      </c>
      <c r="K9" s="44">
        <v>3757224194</v>
      </c>
      <c r="L9" s="44">
        <v>28898288</v>
      </c>
      <c r="M9" s="44">
        <v>52886063</v>
      </c>
      <c r="N9" s="44">
        <v>173085441</v>
      </c>
      <c r="O9" s="44">
        <v>280682970</v>
      </c>
      <c r="P9" s="44">
        <v>596557496</v>
      </c>
      <c r="Q9" s="44">
        <v>1383942405</v>
      </c>
      <c r="R9" s="44">
        <v>3221801103</v>
      </c>
      <c r="S9" s="44">
        <v>4712226221</v>
      </c>
      <c r="T9" s="44">
        <v>3</v>
      </c>
    </row>
    <row r="10" spans="1:20" x14ac:dyDescent="0.2">
      <c r="A10" s="57">
        <v>60</v>
      </c>
      <c r="B10" s="57">
        <f t="shared" si="0"/>
        <v>40</v>
      </c>
      <c r="C10" s="58">
        <v>2</v>
      </c>
      <c r="D10" s="44">
        <v>18551696</v>
      </c>
      <c r="E10" s="44">
        <v>79525876</v>
      </c>
      <c r="F10" s="44">
        <v>115336424</v>
      </c>
      <c r="G10" s="44">
        <v>231644261</v>
      </c>
      <c r="H10" s="44">
        <v>462220263</v>
      </c>
      <c r="I10" s="44">
        <v>1188485394</v>
      </c>
      <c r="J10" s="44">
        <v>2214544058</v>
      </c>
      <c r="K10" s="44">
        <v>3894277282</v>
      </c>
      <c r="L10" s="44">
        <v>33123629</v>
      </c>
      <c r="M10" s="44">
        <v>72057943</v>
      </c>
      <c r="N10" s="44">
        <v>157686381</v>
      </c>
      <c r="O10" s="44">
        <v>359631652</v>
      </c>
      <c r="P10" s="44">
        <v>613217377</v>
      </c>
      <c r="Q10" s="44">
        <v>1479339093</v>
      </c>
      <c r="R10" s="44">
        <v>3174990442</v>
      </c>
      <c r="S10" s="44">
        <v>4887263199</v>
      </c>
      <c r="T10" s="44">
        <v>3</v>
      </c>
    </row>
    <row r="11" spans="1:20" x14ac:dyDescent="0.2">
      <c r="A11" s="57">
        <v>60</v>
      </c>
      <c r="B11" s="57">
        <f t="shared" si="0"/>
        <v>40</v>
      </c>
      <c r="C11" s="58">
        <v>3</v>
      </c>
      <c r="D11" s="44">
        <v>24097951</v>
      </c>
      <c r="E11" s="44">
        <v>40942029</v>
      </c>
      <c r="F11" s="44">
        <v>104439438</v>
      </c>
      <c r="G11" s="44">
        <v>255057572</v>
      </c>
      <c r="H11" s="44">
        <v>445712277</v>
      </c>
      <c r="I11" s="44">
        <v>1093508336</v>
      </c>
      <c r="J11" s="44">
        <v>2161449184</v>
      </c>
      <c r="K11" s="44">
        <v>3852769903</v>
      </c>
      <c r="L11" s="44">
        <v>27371739</v>
      </c>
      <c r="M11" s="44">
        <v>82149301</v>
      </c>
      <c r="N11" s="44">
        <v>144163626</v>
      </c>
      <c r="O11" s="44">
        <v>433958000</v>
      </c>
      <c r="P11" s="44">
        <v>574345796</v>
      </c>
      <c r="Q11" s="44">
        <v>1347958447</v>
      </c>
      <c r="R11" s="44">
        <v>3218978049</v>
      </c>
      <c r="S11" s="44">
        <v>4789006132</v>
      </c>
      <c r="T11" s="44">
        <v>3</v>
      </c>
    </row>
    <row r="12" spans="1:20" x14ac:dyDescent="0.2">
      <c r="A12" s="57">
        <v>40</v>
      </c>
      <c r="B12" s="57">
        <f t="shared" si="0"/>
        <v>60</v>
      </c>
      <c r="C12" s="58">
        <v>1</v>
      </c>
      <c r="D12" s="44">
        <v>12548435</v>
      </c>
      <c r="E12" s="44">
        <v>33815869</v>
      </c>
      <c r="F12" s="44">
        <v>70057743</v>
      </c>
      <c r="G12" s="44">
        <v>142034006</v>
      </c>
      <c r="H12" s="44">
        <v>249887101</v>
      </c>
      <c r="I12" s="44">
        <v>825896975</v>
      </c>
      <c r="J12" s="44">
        <v>1509658451</v>
      </c>
      <c r="K12" s="44">
        <v>2691703981</v>
      </c>
      <c r="L12" s="44">
        <v>34155657</v>
      </c>
      <c r="M12" s="44">
        <v>91958037</v>
      </c>
      <c r="N12" s="44">
        <v>219381330</v>
      </c>
      <c r="O12" s="44">
        <v>447093486</v>
      </c>
      <c r="P12" s="44">
        <v>753404064</v>
      </c>
      <c r="Q12" s="44">
        <v>2047322784</v>
      </c>
      <c r="R12" s="44">
        <v>4520272023</v>
      </c>
      <c r="S12" s="44">
        <v>6955586921</v>
      </c>
      <c r="T12" s="44">
        <v>4</v>
      </c>
    </row>
    <row r="13" spans="1:20" x14ac:dyDescent="0.2">
      <c r="A13" s="57">
        <v>40</v>
      </c>
      <c r="B13" s="57">
        <f t="shared" si="0"/>
        <v>60</v>
      </c>
      <c r="C13" s="58">
        <v>2</v>
      </c>
      <c r="D13" s="44">
        <v>21673824</v>
      </c>
      <c r="E13" s="44">
        <v>35337003</v>
      </c>
      <c r="F13" s="44">
        <v>68305740</v>
      </c>
      <c r="G13" s="44">
        <v>146377187</v>
      </c>
      <c r="H13" s="44">
        <v>287462354</v>
      </c>
      <c r="I13" s="44">
        <v>808701673</v>
      </c>
      <c r="J13" s="44">
        <v>1455008139</v>
      </c>
      <c r="K13" s="44">
        <v>2729905135</v>
      </c>
      <c r="L13" s="44">
        <v>37268116</v>
      </c>
      <c r="M13" s="44">
        <v>92576712</v>
      </c>
      <c r="N13" s="44">
        <v>218625997</v>
      </c>
      <c r="O13" s="44">
        <v>479329672</v>
      </c>
      <c r="P13" s="44">
        <v>788365711</v>
      </c>
      <c r="Q13" s="44">
        <v>2002439454</v>
      </c>
      <c r="R13" s="44">
        <v>4772994077</v>
      </c>
      <c r="S13" s="44">
        <v>7160265303</v>
      </c>
      <c r="T13" s="44">
        <v>4</v>
      </c>
    </row>
    <row r="14" spans="1:20" x14ac:dyDescent="0.2">
      <c r="A14" s="57">
        <v>40</v>
      </c>
      <c r="B14" s="57">
        <f t="shared" si="0"/>
        <v>60</v>
      </c>
      <c r="C14" s="58">
        <v>3</v>
      </c>
      <c r="D14" s="44">
        <v>14725457</v>
      </c>
      <c r="E14" s="44">
        <v>33584300</v>
      </c>
      <c r="F14" s="44">
        <v>77062417</v>
      </c>
      <c r="G14" s="44">
        <v>157023054</v>
      </c>
      <c r="H14" s="44">
        <v>301335221</v>
      </c>
      <c r="I14" s="44">
        <v>782299285</v>
      </c>
      <c r="J14" s="44">
        <v>1470973074</v>
      </c>
      <c r="K14" s="44">
        <v>2697995604</v>
      </c>
      <c r="L14" s="44">
        <v>38807196</v>
      </c>
      <c r="M14" s="44">
        <v>85119928</v>
      </c>
      <c r="N14" s="44">
        <v>228238982</v>
      </c>
      <c r="O14" s="44">
        <v>475559595</v>
      </c>
      <c r="P14" s="44">
        <v>891424648</v>
      </c>
      <c r="Q14" s="44">
        <v>1926027588</v>
      </c>
      <c r="R14" s="44">
        <v>5124368996</v>
      </c>
      <c r="S14" s="44">
        <v>7348972647</v>
      </c>
      <c r="T14" s="44">
        <v>4</v>
      </c>
    </row>
    <row r="15" spans="1:20" x14ac:dyDescent="0.2">
      <c r="A15" s="57">
        <v>20</v>
      </c>
      <c r="B15" s="57">
        <f t="shared" si="0"/>
        <v>80</v>
      </c>
      <c r="C15" s="58">
        <v>1</v>
      </c>
      <c r="D15" s="44">
        <v>13981968</v>
      </c>
      <c r="E15" s="44">
        <v>24480658</v>
      </c>
      <c r="F15" s="44">
        <v>41285395</v>
      </c>
      <c r="G15" s="44">
        <v>82091938</v>
      </c>
      <c r="H15" s="44">
        <v>143997839</v>
      </c>
      <c r="I15" s="44">
        <v>374336543</v>
      </c>
      <c r="J15" s="44">
        <v>781574871</v>
      </c>
      <c r="K15" s="44">
        <v>1242943388</v>
      </c>
      <c r="L15" s="44">
        <v>38602854</v>
      </c>
      <c r="M15" s="44">
        <v>105868918</v>
      </c>
      <c r="N15" s="44">
        <v>313355634</v>
      </c>
      <c r="O15" s="44">
        <v>674710090</v>
      </c>
      <c r="P15" s="44">
        <v>1161666690</v>
      </c>
      <c r="Q15" s="44">
        <v>2694070433</v>
      </c>
      <c r="R15" s="44">
        <v>5838563731</v>
      </c>
      <c r="S15" s="44">
        <v>9071958491</v>
      </c>
      <c r="T15" s="44">
        <v>5</v>
      </c>
    </row>
    <row r="16" spans="1:20" x14ac:dyDescent="0.2">
      <c r="A16" s="57">
        <v>20</v>
      </c>
      <c r="B16" s="57">
        <f t="shared" si="0"/>
        <v>80</v>
      </c>
      <c r="C16" s="58">
        <v>2</v>
      </c>
      <c r="D16" s="44">
        <v>3369859</v>
      </c>
      <c r="E16" s="44">
        <v>16039694</v>
      </c>
      <c r="F16" s="44">
        <v>43577445</v>
      </c>
      <c r="G16" s="44">
        <v>78359177</v>
      </c>
      <c r="H16" s="44">
        <v>155521011</v>
      </c>
      <c r="I16" s="44">
        <v>395604004</v>
      </c>
      <c r="J16" s="44">
        <v>747472620</v>
      </c>
      <c r="K16" s="44">
        <v>1285529702</v>
      </c>
      <c r="L16" s="44">
        <v>26101427</v>
      </c>
      <c r="M16" s="44">
        <v>151161052</v>
      </c>
      <c r="N16" s="44">
        <v>327275826</v>
      </c>
      <c r="O16" s="44">
        <v>714434517</v>
      </c>
      <c r="P16" s="44">
        <v>1166068288</v>
      </c>
      <c r="Q16" s="44">
        <v>2749155835</v>
      </c>
      <c r="R16" s="44">
        <v>5986403365</v>
      </c>
      <c r="S16" s="44">
        <v>9333972062</v>
      </c>
      <c r="T16" s="44">
        <v>5</v>
      </c>
    </row>
    <row r="17" spans="1:20" x14ac:dyDescent="0.2">
      <c r="A17" s="57">
        <v>20</v>
      </c>
      <c r="B17" s="57">
        <f t="shared" si="0"/>
        <v>80</v>
      </c>
      <c r="C17" s="58">
        <v>3</v>
      </c>
      <c r="D17" s="44">
        <v>7393444</v>
      </c>
      <c r="E17" s="44">
        <v>21146432</v>
      </c>
      <c r="F17" s="44">
        <v>36165571</v>
      </c>
      <c r="G17" s="44">
        <v>79760478</v>
      </c>
      <c r="H17" s="44">
        <v>154552494</v>
      </c>
      <c r="I17" s="44">
        <v>361184175</v>
      </c>
      <c r="J17" s="44">
        <v>723889243</v>
      </c>
      <c r="K17" s="44">
        <v>1282625934</v>
      </c>
      <c r="L17" s="44">
        <v>53005000</v>
      </c>
      <c r="M17" s="44">
        <v>100024736</v>
      </c>
      <c r="N17" s="44">
        <v>336688530</v>
      </c>
      <c r="O17" s="44">
        <v>686631705</v>
      </c>
      <c r="P17" s="44">
        <v>1091327352</v>
      </c>
      <c r="Q17" s="44">
        <v>2788044961</v>
      </c>
      <c r="R17" s="44">
        <v>5754713762</v>
      </c>
      <c r="S17" s="44">
        <v>9352452979</v>
      </c>
      <c r="T17" s="44">
        <v>5</v>
      </c>
    </row>
    <row r="18" spans="1:20" x14ac:dyDescent="0.2">
      <c r="A18" s="57">
        <v>0</v>
      </c>
      <c r="B18" s="57">
        <f t="shared" si="0"/>
        <v>100</v>
      </c>
      <c r="C18" s="58">
        <v>1</v>
      </c>
      <c r="D18" s="59">
        <f>0</f>
        <v>0</v>
      </c>
      <c r="E18" s="59">
        <f>0</f>
        <v>0</v>
      </c>
      <c r="F18" s="59">
        <f>0</f>
        <v>0</v>
      </c>
      <c r="G18" s="59">
        <f>0</f>
        <v>0</v>
      </c>
      <c r="H18" s="59">
        <f>0</f>
        <v>0</v>
      </c>
      <c r="I18" s="59">
        <f>0</f>
        <v>0</v>
      </c>
      <c r="J18" s="59">
        <f>0</f>
        <v>0</v>
      </c>
      <c r="K18" s="59">
        <f>0</f>
        <v>0</v>
      </c>
      <c r="L18" s="44">
        <v>60880516</v>
      </c>
      <c r="M18" s="44">
        <v>159183099</v>
      </c>
      <c r="N18" s="44">
        <v>450165471</v>
      </c>
      <c r="O18" s="44">
        <v>1022660597</v>
      </c>
      <c r="P18" s="44">
        <v>1455527813</v>
      </c>
      <c r="Q18" s="44">
        <v>3373491894</v>
      </c>
      <c r="R18" s="44">
        <v>7440999336</v>
      </c>
      <c r="S18" s="44">
        <v>13223376232</v>
      </c>
      <c r="T18" s="44">
        <v>6</v>
      </c>
    </row>
    <row r="19" spans="1:20" x14ac:dyDescent="0.2">
      <c r="A19" s="57">
        <v>0</v>
      </c>
      <c r="B19" s="57">
        <f t="shared" si="0"/>
        <v>100</v>
      </c>
      <c r="C19" s="58">
        <v>2</v>
      </c>
      <c r="D19" s="59">
        <v>0</v>
      </c>
      <c r="E19" s="59">
        <v>0</v>
      </c>
      <c r="F19" s="59">
        <v>0</v>
      </c>
      <c r="G19" s="59">
        <v>0</v>
      </c>
      <c r="H19" s="59">
        <v>0</v>
      </c>
      <c r="I19" s="59">
        <v>0</v>
      </c>
      <c r="J19" s="59">
        <v>0</v>
      </c>
      <c r="K19" s="59">
        <v>0</v>
      </c>
      <c r="L19" s="44">
        <v>70305570</v>
      </c>
      <c r="M19" s="44">
        <v>178294972</v>
      </c>
      <c r="N19" s="44">
        <v>497769220</v>
      </c>
      <c r="O19" s="44">
        <v>1004508290</v>
      </c>
      <c r="P19" s="44">
        <v>1514707542</v>
      </c>
      <c r="Q19" s="44">
        <v>3369888376</v>
      </c>
      <c r="R19" s="44">
        <v>7883373014</v>
      </c>
      <c r="S19" s="44">
        <v>13388742615</v>
      </c>
      <c r="T19" s="44">
        <v>6</v>
      </c>
    </row>
    <row r="20" spans="1:20" x14ac:dyDescent="0.2">
      <c r="A20" s="57">
        <v>0</v>
      </c>
      <c r="B20" s="57">
        <f t="shared" si="0"/>
        <v>100</v>
      </c>
      <c r="C20" s="58">
        <v>3</v>
      </c>
      <c r="D20" s="59">
        <v>0</v>
      </c>
      <c r="E20" s="59">
        <v>0</v>
      </c>
      <c r="F20" s="59">
        <v>0</v>
      </c>
      <c r="G20" s="59">
        <v>0</v>
      </c>
      <c r="H20" s="59">
        <v>0</v>
      </c>
      <c r="I20" s="59">
        <v>0</v>
      </c>
      <c r="J20" s="59">
        <v>0</v>
      </c>
      <c r="K20" s="59">
        <v>0</v>
      </c>
      <c r="L20" s="44">
        <v>56344363</v>
      </c>
      <c r="M20" s="44">
        <v>151748095</v>
      </c>
      <c r="N20" s="44">
        <v>455698891</v>
      </c>
      <c r="O20" s="44">
        <v>862676787</v>
      </c>
      <c r="P20" s="44">
        <v>1457617564</v>
      </c>
      <c r="Q20" s="44">
        <v>3291270510</v>
      </c>
      <c r="R20" s="44">
        <v>7935132930</v>
      </c>
      <c r="S20" s="44">
        <v>12799144832</v>
      </c>
      <c r="T20" s="44">
        <v>6</v>
      </c>
    </row>
  </sheetData>
  <mergeCells count="2">
    <mergeCell ref="D1:K1"/>
    <mergeCell ref="L1:S1"/>
  </mergeCells>
  <conditionalFormatting sqref="D3:K17 L6:T20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57"/>
  <sheetViews>
    <sheetView topLeftCell="B1" zoomScale="80" zoomScaleNormal="80" workbookViewId="0">
      <selection activeCell="K2" sqref="K2:AC52"/>
    </sheetView>
  </sheetViews>
  <sheetFormatPr baseColWidth="10" defaultColWidth="8.83203125" defaultRowHeight="15" x14ac:dyDescent="0.2"/>
  <cols>
    <col min="1" max="1" width="30.5" customWidth="1"/>
    <col min="2" max="2" width="9.6640625" customWidth="1"/>
    <col min="3" max="3" width="11.33203125" customWidth="1"/>
    <col min="4" max="8" width="10.6640625" bestFit="1" customWidth="1"/>
    <col min="9" max="9" width="11.6640625" bestFit="1" customWidth="1"/>
    <col min="11" max="11" width="31.83203125" customWidth="1"/>
    <col min="12" max="12" width="15.6640625" customWidth="1"/>
    <col min="13" max="13" width="14.6640625" customWidth="1"/>
    <col min="14" max="14" width="14.33203125" customWidth="1"/>
    <col min="15" max="15" width="14.6640625" customWidth="1"/>
    <col min="16" max="16" width="15" customWidth="1"/>
    <col min="17" max="17" width="15.6640625" customWidth="1"/>
    <col min="18" max="18" width="15.5" customWidth="1"/>
    <col min="19" max="19" width="15.1640625" customWidth="1"/>
    <col min="21" max="21" width="33.33203125" customWidth="1"/>
    <col min="22" max="22" width="14.33203125" customWidth="1"/>
    <col min="23" max="23" width="14.1640625" customWidth="1"/>
    <col min="24" max="24" width="14.5" customWidth="1"/>
    <col min="25" max="26" width="15.5" customWidth="1"/>
    <col min="27" max="27" width="15.83203125" customWidth="1"/>
    <col min="28" max="28" width="14" customWidth="1"/>
    <col min="29" max="29" width="14.83203125" customWidth="1"/>
  </cols>
  <sheetData>
    <row r="1" spans="1:29" ht="16" thickBot="1" x14ac:dyDescent="0.25"/>
    <row r="2" spans="1:29" ht="16" thickBot="1" x14ac:dyDescent="0.25">
      <c r="A2" s="54" t="s">
        <v>8</v>
      </c>
      <c r="B2" s="66" t="s">
        <v>21</v>
      </c>
      <c r="C2" s="67"/>
      <c r="D2" s="67"/>
      <c r="E2" s="67"/>
      <c r="F2" s="67"/>
      <c r="G2" s="67"/>
      <c r="H2" s="67"/>
      <c r="I2" s="68"/>
      <c r="K2" s="31" t="s">
        <v>8</v>
      </c>
      <c r="L2" s="65" t="s">
        <v>18</v>
      </c>
      <c r="M2" s="64"/>
      <c r="N2" s="64"/>
      <c r="O2" s="64"/>
      <c r="P2" s="64"/>
      <c r="Q2" s="64"/>
      <c r="R2" s="64"/>
      <c r="S2" s="64"/>
      <c r="U2" s="36" t="s">
        <v>8</v>
      </c>
      <c r="V2" s="65" t="s">
        <v>19</v>
      </c>
      <c r="W2" s="64"/>
      <c r="X2" s="64"/>
      <c r="Y2" s="64"/>
      <c r="Z2" s="64"/>
      <c r="AA2" s="64"/>
      <c r="AB2" s="64"/>
      <c r="AC2" s="64"/>
    </row>
    <row r="3" spans="1:29" ht="16" thickBot="1" x14ac:dyDescent="0.25">
      <c r="A3" s="21" t="s">
        <v>13</v>
      </c>
      <c r="B3" s="10">
        <v>500</v>
      </c>
      <c r="C3" s="10">
        <v>1000</v>
      </c>
      <c r="D3" s="10">
        <v>2500</v>
      </c>
      <c r="E3" s="10">
        <v>5000</v>
      </c>
      <c r="F3" s="10">
        <v>10000</v>
      </c>
      <c r="G3" s="10">
        <v>25000</v>
      </c>
      <c r="H3" s="10">
        <v>50000</v>
      </c>
      <c r="I3" s="10">
        <v>100000</v>
      </c>
      <c r="K3" s="31" t="s">
        <v>13</v>
      </c>
      <c r="L3" s="5">
        <v>500</v>
      </c>
      <c r="M3" s="5">
        <v>1000</v>
      </c>
      <c r="N3" s="5">
        <v>2500</v>
      </c>
      <c r="O3" s="5">
        <v>5000</v>
      </c>
      <c r="P3" s="5">
        <v>10000</v>
      </c>
      <c r="Q3" s="5">
        <v>25000</v>
      </c>
      <c r="R3" s="5">
        <v>50000</v>
      </c>
      <c r="S3" s="5">
        <v>100000</v>
      </c>
      <c r="U3" s="36" t="s">
        <v>13</v>
      </c>
      <c r="V3" s="5">
        <v>500</v>
      </c>
      <c r="W3" s="5">
        <v>1000</v>
      </c>
      <c r="X3" s="5">
        <v>2500</v>
      </c>
      <c r="Y3" s="5">
        <v>5000</v>
      </c>
      <c r="Z3" s="5">
        <v>10000</v>
      </c>
      <c r="AA3" s="5">
        <v>25000</v>
      </c>
      <c r="AB3" s="5">
        <v>50000</v>
      </c>
      <c r="AC3" s="5">
        <v>100000</v>
      </c>
    </row>
    <row r="4" spans="1:29" x14ac:dyDescent="0.2">
      <c r="A4" s="4" t="s">
        <v>5</v>
      </c>
      <c r="B4" s="6">
        <v>24100</v>
      </c>
      <c r="C4" s="6">
        <v>43000</v>
      </c>
      <c r="D4" s="6">
        <v>72000</v>
      </c>
      <c r="E4" s="6">
        <v>142000</v>
      </c>
      <c r="F4" s="6">
        <v>285000</v>
      </c>
      <c r="G4" s="6">
        <v>597000</v>
      </c>
      <c r="H4" s="6">
        <v>930000</v>
      </c>
      <c r="I4" s="6">
        <v>1480000</v>
      </c>
      <c r="K4" s="4" t="s">
        <v>5</v>
      </c>
      <c r="L4" s="42">
        <v>35910912</v>
      </c>
      <c r="M4" s="42">
        <v>71822957</v>
      </c>
      <c r="N4" s="42">
        <v>168977524</v>
      </c>
      <c r="O4" s="42">
        <v>356823220</v>
      </c>
      <c r="P4" s="42">
        <v>745755597</v>
      </c>
      <c r="Q4" s="42">
        <v>1828943695</v>
      </c>
      <c r="R4" s="42">
        <v>3650207848</v>
      </c>
      <c r="S4" s="42">
        <v>6063619066</v>
      </c>
      <c r="U4" s="4" t="s">
        <v>5</v>
      </c>
      <c r="V4" s="6"/>
      <c r="W4" s="6"/>
      <c r="X4" s="6"/>
      <c r="Y4" s="6"/>
      <c r="Z4" s="6"/>
      <c r="AA4" s="6"/>
      <c r="AB4" s="6"/>
      <c r="AC4" s="6"/>
    </row>
    <row r="5" spans="1:29" x14ac:dyDescent="0.2">
      <c r="A5" s="1" t="s">
        <v>6</v>
      </c>
      <c r="B5" s="6">
        <v>19700</v>
      </c>
      <c r="C5" s="6">
        <v>45400</v>
      </c>
      <c r="D5" s="6">
        <v>86500</v>
      </c>
      <c r="E5" s="6">
        <v>160000</v>
      </c>
      <c r="F5" s="6">
        <v>282000</v>
      </c>
      <c r="G5" s="6">
        <v>571000</v>
      </c>
      <c r="H5" s="6">
        <v>829000</v>
      </c>
      <c r="I5" s="6">
        <v>1420000</v>
      </c>
      <c r="K5" s="1" t="s">
        <v>6</v>
      </c>
      <c r="L5" s="42">
        <v>29851503</v>
      </c>
      <c r="M5" s="42">
        <v>93897171</v>
      </c>
      <c r="N5" s="42">
        <v>207815462</v>
      </c>
      <c r="O5" s="42">
        <v>404936887</v>
      </c>
      <c r="P5" s="42">
        <v>757563718</v>
      </c>
      <c r="Q5" s="42">
        <v>1844303438</v>
      </c>
      <c r="R5" s="42">
        <v>3541011755</v>
      </c>
      <c r="S5" s="42">
        <v>6230380865</v>
      </c>
      <c r="U5" s="1" t="s">
        <v>6</v>
      </c>
      <c r="V5" s="6"/>
      <c r="W5" s="6"/>
      <c r="X5" s="6"/>
      <c r="Y5" s="6"/>
      <c r="Z5" s="6"/>
      <c r="AA5" s="6"/>
      <c r="AB5" s="6"/>
      <c r="AC5" s="6"/>
    </row>
    <row r="6" spans="1:29" x14ac:dyDescent="0.2">
      <c r="A6" s="1" t="s">
        <v>7</v>
      </c>
      <c r="B6" s="6">
        <v>17700</v>
      </c>
      <c r="C6" s="6">
        <v>35100</v>
      </c>
      <c r="D6" s="6">
        <v>73800</v>
      </c>
      <c r="E6" s="6">
        <v>142000</v>
      </c>
      <c r="F6" s="6">
        <v>278000</v>
      </c>
      <c r="G6" s="6">
        <v>495000</v>
      </c>
      <c r="H6" s="6">
        <v>690000</v>
      </c>
      <c r="I6" s="6">
        <v>1330000</v>
      </c>
      <c r="K6" s="1" t="s">
        <v>7</v>
      </c>
      <c r="L6" s="42">
        <v>37665976</v>
      </c>
      <c r="M6" s="42">
        <v>77524700</v>
      </c>
      <c r="N6" s="42">
        <v>178808836</v>
      </c>
      <c r="O6" s="42">
        <v>393128104</v>
      </c>
      <c r="P6" s="42">
        <v>735595098</v>
      </c>
      <c r="Q6" s="42">
        <v>1817717620</v>
      </c>
      <c r="R6" s="42">
        <v>3227558364</v>
      </c>
      <c r="S6" s="42">
        <v>6114071088</v>
      </c>
      <c r="U6" s="1" t="s">
        <v>7</v>
      </c>
      <c r="V6" s="6"/>
      <c r="W6" s="6"/>
      <c r="X6" s="6"/>
      <c r="Y6" s="6"/>
      <c r="Z6" s="6"/>
      <c r="AA6" s="6"/>
      <c r="AB6" s="6"/>
      <c r="AC6" s="6"/>
    </row>
    <row r="7" spans="1:29" x14ac:dyDescent="0.2">
      <c r="A7" s="2" t="s">
        <v>9</v>
      </c>
      <c r="B7" s="3">
        <f>AVERAGE(B4, B5, B6)</f>
        <v>20500</v>
      </c>
      <c r="C7" s="3">
        <f>AVERAGE(C4, C5, C6)</f>
        <v>41166.666666666664</v>
      </c>
      <c r="D7" s="3">
        <f t="shared" ref="D7:H7" si="0">AVERAGE(D4, D5, D6)</f>
        <v>77433.333333333328</v>
      </c>
      <c r="E7" s="3">
        <f>AVERAGE(E4, E5, E6)</f>
        <v>148000</v>
      </c>
      <c r="F7" s="3">
        <f t="shared" si="0"/>
        <v>281666.66666666669</v>
      </c>
      <c r="G7" s="3">
        <f t="shared" si="0"/>
        <v>554333.33333333337</v>
      </c>
      <c r="H7" s="3">
        <f t="shared" si="0"/>
        <v>816333.33333333337</v>
      </c>
      <c r="I7" s="3">
        <f>AVERAGE(I4, I5, I6)</f>
        <v>1410000</v>
      </c>
      <c r="K7" s="2" t="s">
        <v>9</v>
      </c>
      <c r="L7" s="3">
        <f>AVERAGE(L4, L5, L6)</f>
        <v>34476130.333333336</v>
      </c>
      <c r="M7" s="3">
        <f>AVERAGE(M4, M5, M6)</f>
        <v>81081609.333333328</v>
      </c>
      <c r="N7" s="3">
        <f t="shared" ref="N7:R7" si="1">AVERAGE(N4, N5, N6)</f>
        <v>185200607.33333334</v>
      </c>
      <c r="O7" s="3">
        <f>AVERAGE(O4, O5, O6)</f>
        <v>384962737</v>
      </c>
      <c r="P7" s="3">
        <f t="shared" si="1"/>
        <v>746304804.33333337</v>
      </c>
      <c r="Q7" s="3">
        <f t="shared" si="1"/>
        <v>1830321584.3333333</v>
      </c>
      <c r="R7" s="3">
        <f t="shared" si="1"/>
        <v>3472925989</v>
      </c>
      <c r="S7" s="3">
        <f>AVERAGE(S4, S5, S6)</f>
        <v>6136023673</v>
      </c>
      <c r="U7" s="2" t="s">
        <v>9</v>
      </c>
      <c r="V7" s="3"/>
      <c r="W7" s="3"/>
      <c r="X7" s="3"/>
      <c r="Y7" s="3"/>
      <c r="Z7" s="3"/>
      <c r="AA7" s="3"/>
      <c r="AB7" s="3"/>
      <c r="AC7" s="3"/>
    </row>
    <row r="11" spans="1:29" ht="16" thickBot="1" x14ac:dyDescent="0.25"/>
    <row r="12" spans="1:29" ht="16" thickBot="1" x14ac:dyDescent="0.25">
      <c r="A12" s="22" t="s">
        <v>10</v>
      </c>
      <c r="B12" s="66" t="s">
        <v>21</v>
      </c>
      <c r="C12" s="67"/>
      <c r="D12" s="67"/>
      <c r="E12" s="67"/>
      <c r="F12" s="67"/>
      <c r="G12" s="67"/>
      <c r="H12" s="67"/>
      <c r="I12" s="68"/>
      <c r="K12" s="32" t="s">
        <v>10</v>
      </c>
      <c r="L12" s="65" t="s">
        <v>18</v>
      </c>
      <c r="M12" s="64"/>
      <c r="N12" s="64"/>
      <c r="O12" s="64"/>
      <c r="P12" s="64"/>
      <c r="Q12" s="64"/>
      <c r="R12" s="64"/>
      <c r="S12" s="64"/>
      <c r="U12" s="37" t="s">
        <v>10</v>
      </c>
      <c r="V12" s="65" t="s">
        <v>19</v>
      </c>
      <c r="W12" s="64"/>
      <c r="X12" s="64"/>
      <c r="Y12" s="64"/>
      <c r="Z12" s="64"/>
      <c r="AA12" s="64"/>
      <c r="AB12" s="64"/>
      <c r="AC12" s="64"/>
    </row>
    <row r="13" spans="1:29" ht="16" thickBot="1" x14ac:dyDescent="0.25">
      <c r="A13" s="23" t="s">
        <v>13</v>
      </c>
      <c r="B13" s="5">
        <v>500</v>
      </c>
      <c r="C13" s="5">
        <v>1000</v>
      </c>
      <c r="D13" s="5">
        <v>2500</v>
      </c>
      <c r="E13" s="5">
        <v>5000</v>
      </c>
      <c r="F13" s="5">
        <v>10000</v>
      </c>
      <c r="G13" s="5">
        <v>25000</v>
      </c>
      <c r="H13" s="5">
        <v>50000</v>
      </c>
      <c r="I13" s="52">
        <v>100000</v>
      </c>
      <c r="K13" s="50" t="s">
        <v>13</v>
      </c>
      <c r="L13" s="5">
        <v>500</v>
      </c>
      <c r="M13" s="5">
        <v>1000</v>
      </c>
      <c r="N13" s="5">
        <v>2500</v>
      </c>
      <c r="O13" s="5">
        <v>5000</v>
      </c>
      <c r="P13" s="5">
        <v>10000</v>
      </c>
      <c r="Q13" s="5">
        <v>25000</v>
      </c>
      <c r="R13" s="5">
        <v>50000</v>
      </c>
      <c r="S13" s="48">
        <v>100000</v>
      </c>
      <c r="U13" s="37" t="s">
        <v>13</v>
      </c>
      <c r="V13" s="5">
        <v>500</v>
      </c>
      <c r="W13" s="5">
        <v>1000</v>
      </c>
      <c r="X13" s="5">
        <v>2500</v>
      </c>
      <c r="Y13" s="5">
        <v>5000</v>
      </c>
      <c r="Z13" s="5">
        <v>10000</v>
      </c>
      <c r="AA13" s="5">
        <v>25000</v>
      </c>
      <c r="AB13" s="5">
        <v>50000</v>
      </c>
      <c r="AC13" s="5">
        <v>100000</v>
      </c>
    </row>
    <row r="14" spans="1:29" x14ac:dyDescent="0.2">
      <c r="A14" s="4" t="s">
        <v>5</v>
      </c>
      <c r="B14" s="6">
        <v>14600</v>
      </c>
      <c r="C14" s="6">
        <v>40200</v>
      </c>
      <c r="D14" s="6">
        <v>102000</v>
      </c>
      <c r="E14" s="6">
        <v>247000</v>
      </c>
      <c r="F14" s="6">
        <v>341000</v>
      </c>
      <c r="G14" s="6">
        <v>801000</v>
      </c>
      <c r="H14" s="49">
        <v>1060000</v>
      </c>
      <c r="I14" s="53">
        <v>1570000</v>
      </c>
      <c r="J14" s="51"/>
      <c r="K14" s="45" t="s">
        <v>5</v>
      </c>
      <c r="L14" s="42">
        <v>23678767</v>
      </c>
      <c r="M14" s="42">
        <v>52849873</v>
      </c>
      <c r="N14" s="42">
        <v>131085813</v>
      </c>
      <c r="O14" s="42">
        <v>274268481</v>
      </c>
      <c r="P14" s="42">
        <v>544103387</v>
      </c>
      <c r="Q14" s="42">
        <v>1430258676</v>
      </c>
      <c r="R14" s="43">
        <v>2519702918</v>
      </c>
      <c r="S14" s="44">
        <v>4813612615</v>
      </c>
      <c r="T14" s="47"/>
      <c r="U14" s="45" t="s">
        <v>5</v>
      </c>
      <c r="V14" s="42">
        <v>7218587</v>
      </c>
      <c r="W14" s="42">
        <v>20632160</v>
      </c>
      <c r="X14" s="42">
        <v>93564227</v>
      </c>
      <c r="Y14" s="42">
        <v>153744361</v>
      </c>
      <c r="Z14" s="42">
        <v>264187108</v>
      </c>
      <c r="AA14" s="42">
        <v>573467483</v>
      </c>
      <c r="AB14" s="42">
        <v>1401759411</v>
      </c>
      <c r="AC14" s="42">
        <v>2398461511</v>
      </c>
    </row>
    <row r="15" spans="1:29" x14ac:dyDescent="0.2">
      <c r="A15" s="1" t="s">
        <v>6</v>
      </c>
      <c r="B15" s="6">
        <v>20900</v>
      </c>
      <c r="C15" s="6">
        <v>49200</v>
      </c>
      <c r="D15" s="6">
        <v>120000</v>
      </c>
      <c r="E15" s="6">
        <v>111000</v>
      </c>
      <c r="F15" s="6">
        <v>335000</v>
      </c>
      <c r="G15" s="6">
        <v>663000</v>
      </c>
      <c r="H15" s="49">
        <v>1150000</v>
      </c>
      <c r="I15" s="53">
        <v>1670000</v>
      </c>
      <c r="J15" s="51"/>
      <c r="K15" s="46" t="s">
        <v>6</v>
      </c>
      <c r="L15" s="42">
        <v>27810902</v>
      </c>
      <c r="M15" s="42">
        <v>61904364</v>
      </c>
      <c r="N15" s="42">
        <v>142119268</v>
      </c>
      <c r="O15" s="42">
        <v>181397931</v>
      </c>
      <c r="P15" s="42">
        <v>573920867</v>
      </c>
      <c r="Q15" s="42">
        <v>1510709915</v>
      </c>
      <c r="R15" s="43">
        <v>2739875232</v>
      </c>
      <c r="S15" s="44">
        <v>4914435176</v>
      </c>
      <c r="T15" s="47"/>
      <c r="U15" s="46" t="s">
        <v>6</v>
      </c>
      <c r="V15" s="42">
        <v>8867905</v>
      </c>
      <c r="W15" s="42">
        <v>27055186</v>
      </c>
      <c r="X15" s="42">
        <v>77473026</v>
      </c>
      <c r="Y15" s="42">
        <v>89397083</v>
      </c>
      <c r="Z15" s="42">
        <v>283907595</v>
      </c>
      <c r="AA15" s="42">
        <v>685446522</v>
      </c>
      <c r="AB15" s="42">
        <v>1513925890</v>
      </c>
      <c r="AC15" s="42">
        <v>2449552550</v>
      </c>
    </row>
    <row r="16" spans="1:29" x14ac:dyDescent="0.2">
      <c r="A16" s="1" t="s">
        <v>7</v>
      </c>
      <c r="B16" s="6">
        <v>21800</v>
      </c>
      <c r="C16" s="6">
        <v>58700</v>
      </c>
      <c r="D16" s="6">
        <v>131000</v>
      </c>
      <c r="E16" s="6">
        <v>213000</v>
      </c>
      <c r="F16" s="6">
        <v>306000</v>
      </c>
      <c r="G16" s="6">
        <v>668000</v>
      </c>
      <c r="H16" s="49">
        <v>1060000</v>
      </c>
      <c r="I16" s="53">
        <v>1570000</v>
      </c>
      <c r="J16" s="51"/>
      <c r="K16" s="46" t="s">
        <v>7</v>
      </c>
      <c r="L16" s="42">
        <v>28125076</v>
      </c>
      <c r="M16" s="42">
        <v>74287821</v>
      </c>
      <c r="N16" s="42">
        <v>152550914</v>
      </c>
      <c r="O16" s="42">
        <v>300894061</v>
      </c>
      <c r="P16" s="42">
        <v>584546503</v>
      </c>
      <c r="Q16" s="42">
        <v>1553142605</v>
      </c>
      <c r="R16" s="43">
        <v>2791362081</v>
      </c>
      <c r="S16" s="44">
        <v>5069386302</v>
      </c>
      <c r="T16" s="47"/>
      <c r="U16" s="46" t="s">
        <v>7</v>
      </c>
      <c r="V16" s="42">
        <v>6910760</v>
      </c>
      <c r="W16" s="42">
        <v>47817514</v>
      </c>
      <c r="X16" s="42">
        <v>79057553</v>
      </c>
      <c r="Y16" s="42">
        <v>176062926</v>
      </c>
      <c r="Z16" s="42">
        <v>308421409</v>
      </c>
      <c r="AA16" s="42">
        <v>686707143</v>
      </c>
      <c r="AB16" s="42">
        <v>1602688419</v>
      </c>
      <c r="AC16" s="42">
        <v>2541885848</v>
      </c>
    </row>
    <row r="17" spans="1:29" x14ac:dyDescent="0.2">
      <c r="A17" s="2" t="s">
        <v>9</v>
      </c>
      <c r="B17" s="3">
        <f xml:space="preserve"> AVERAGE(B14:B16)</f>
        <v>19100</v>
      </c>
      <c r="C17" s="3">
        <f xml:space="preserve"> AVERAGE(C14:C16)</f>
        <v>49366.666666666664</v>
      </c>
      <c r="D17" s="3">
        <f xml:space="preserve"> AVERAGE(D14:D16)</f>
        <v>117666.66666666667</v>
      </c>
      <c r="E17" s="3">
        <f xml:space="preserve"> AVERAGE(E14:E16)</f>
        <v>190333.33333333334</v>
      </c>
      <c r="F17" s="3">
        <f t="shared" ref="F17:I17" si="2" xml:space="preserve"> AVERAGE(F14:F16)</f>
        <v>327333.33333333331</v>
      </c>
      <c r="G17" s="3">
        <f t="shared" si="2"/>
        <v>710666.66666666663</v>
      </c>
      <c r="H17" s="3">
        <f xml:space="preserve"> AVERAGE(H14:H16)</f>
        <v>1090000</v>
      </c>
      <c r="I17" s="3">
        <f t="shared" si="2"/>
        <v>1603333.3333333333</v>
      </c>
      <c r="K17" s="2" t="s">
        <v>9</v>
      </c>
      <c r="L17" s="3">
        <f xml:space="preserve"> AVERAGE(L14:L16)</f>
        <v>26538248.333333332</v>
      </c>
      <c r="M17" s="3">
        <f t="shared" ref="M17:S17" si="3" xml:space="preserve"> AVERAGE(M14:M16)</f>
        <v>63014019.333333336</v>
      </c>
      <c r="N17" s="3">
        <f t="shared" si="3"/>
        <v>141918665</v>
      </c>
      <c r="O17" s="3">
        <f t="shared" si="3"/>
        <v>252186824.33333334</v>
      </c>
      <c r="P17" s="3">
        <f t="shared" si="3"/>
        <v>567523585.66666663</v>
      </c>
      <c r="Q17" s="3">
        <f t="shared" si="3"/>
        <v>1498037065.3333333</v>
      </c>
      <c r="R17" s="3">
        <f t="shared" si="3"/>
        <v>2683646743.6666665</v>
      </c>
      <c r="S17" s="3">
        <f t="shared" si="3"/>
        <v>4932478031</v>
      </c>
      <c r="U17" s="2" t="s">
        <v>9</v>
      </c>
      <c r="V17" s="3">
        <f xml:space="preserve"> AVERAGE(V14:V16)</f>
        <v>7665750.666666667</v>
      </c>
      <c r="W17" s="3">
        <f t="shared" ref="W17:AB17" si="4" xml:space="preserve"> AVERAGE(W14:W16)</f>
        <v>31834953.333333332</v>
      </c>
      <c r="X17" s="3">
        <f t="shared" si="4"/>
        <v>83364935.333333328</v>
      </c>
      <c r="Y17" s="3">
        <f t="shared" si="4"/>
        <v>139734790</v>
      </c>
      <c r="Z17" s="3">
        <f t="shared" si="4"/>
        <v>285505370.66666669</v>
      </c>
      <c r="AA17" s="3">
        <f t="shared" si="4"/>
        <v>648540382.66666663</v>
      </c>
      <c r="AB17" s="3">
        <f t="shared" si="4"/>
        <v>1506124573.3333333</v>
      </c>
      <c r="AC17" s="3">
        <f xml:space="preserve"> AVERAGE(AC14:AC16)</f>
        <v>2463299969.6666665</v>
      </c>
    </row>
    <row r="21" spans="1:29" ht="16" thickBot="1" x14ac:dyDescent="0.25"/>
    <row r="22" spans="1:29" ht="16" thickBot="1" x14ac:dyDescent="0.25">
      <c r="A22" s="24" t="s">
        <v>11</v>
      </c>
      <c r="B22" s="66" t="s">
        <v>21</v>
      </c>
      <c r="C22" s="67"/>
      <c r="D22" s="67"/>
      <c r="E22" s="67"/>
      <c r="F22" s="67"/>
      <c r="G22" s="67"/>
      <c r="H22" s="67"/>
      <c r="I22" s="68"/>
      <c r="K22" s="33" t="s">
        <v>11</v>
      </c>
      <c r="L22" s="65" t="s">
        <v>18</v>
      </c>
      <c r="M22" s="64"/>
      <c r="N22" s="64"/>
      <c r="O22" s="64"/>
      <c r="P22" s="64"/>
      <c r="Q22" s="64"/>
      <c r="R22" s="64"/>
      <c r="S22" s="64"/>
      <c r="U22" s="38" t="s">
        <v>11</v>
      </c>
      <c r="V22" s="65" t="s">
        <v>19</v>
      </c>
      <c r="W22" s="64"/>
      <c r="X22" s="64"/>
      <c r="Y22" s="64"/>
      <c r="Z22" s="64"/>
      <c r="AA22" s="64"/>
      <c r="AB22" s="64"/>
      <c r="AC22" s="64"/>
    </row>
    <row r="23" spans="1:29" ht="16" thickBot="1" x14ac:dyDescent="0.25">
      <c r="A23" s="25" t="s">
        <v>13</v>
      </c>
      <c r="B23" s="5">
        <v>500</v>
      </c>
      <c r="C23" s="5">
        <v>1000</v>
      </c>
      <c r="D23" s="5">
        <v>2500</v>
      </c>
      <c r="E23" s="5">
        <v>5000</v>
      </c>
      <c r="F23" s="5">
        <v>10000</v>
      </c>
      <c r="G23" s="5">
        <v>25000</v>
      </c>
      <c r="H23" s="5">
        <v>50000</v>
      </c>
      <c r="I23" s="5">
        <v>100000</v>
      </c>
      <c r="K23" s="33" t="s">
        <v>13</v>
      </c>
      <c r="L23" s="5">
        <v>500</v>
      </c>
      <c r="M23" s="5">
        <v>1000</v>
      </c>
      <c r="N23" s="5">
        <v>2500</v>
      </c>
      <c r="O23" s="5">
        <v>5000</v>
      </c>
      <c r="P23" s="5">
        <v>10000</v>
      </c>
      <c r="Q23" s="5">
        <v>25000</v>
      </c>
      <c r="R23" s="5">
        <v>50000</v>
      </c>
      <c r="S23" s="5">
        <v>100000</v>
      </c>
      <c r="U23" s="38" t="s">
        <v>13</v>
      </c>
      <c r="V23" s="5">
        <v>500</v>
      </c>
      <c r="W23" s="5">
        <v>1000</v>
      </c>
      <c r="X23" s="5">
        <v>2500</v>
      </c>
      <c r="Y23" s="5">
        <v>5000</v>
      </c>
      <c r="Z23" s="5">
        <v>10000</v>
      </c>
      <c r="AA23" s="5">
        <v>25000</v>
      </c>
      <c r="AB23" s="5">
        <v>50000</v>
      </c>
      <c r="AC23" s="5">
        <v>100000</v>
      </c>
    </row>
    <row r="24" spans="1:29" x14ac:dyDescent="0.2">
      <c r="A24" s="4" t="s">
        <v>5</v>
      </c>
      <c r="B24" s="6">
        <v>42900</v>
      </c>
      <c r="C24" s="6">
        <v>64100</v>
      </c>
      <c r="D24" s="6">
        <v>165000</v>
      </c>
      <c r="E24" s="6">
        <v>309000</v>
      </c>
      <c r="F24" s="6">
        <v>519000</v>
      </c>
      <c r="G24" s="6">
        <v>999000</v>
      </c>
      <c r="H24" s="6">
        <v>1830000</v>
      </c>
      <c r="I24" s="6">
        <v>2140000</v>
      </c>
      <c r="K24" s="4" t="s">
        <v>5</v>
      </c>
      <c r="L24" s="42">
        <v>23961220</v>
      </c>
      <c r="M24" s="42">
        <v>42853219</v>
      </c>
      <c r="N24" s="42">
        <v>115585812</v>
      </c>
      <c r="O24" s="42">
        <v>226382858</v>
      </c>
      <c r="P24" s="42">
        <v>439779852</v>
      </c>
      <c r="Q24" s="42">
        <v>1137375487</v>
      </c>
      <c r="R24" s="42">
        <v>2225725255</v>
      </c>
      <c r="S24" s="42">
        <v>3757224194</v>
      </c>
      <c r="U24" s="4" t="s">
        <v>5</v>
      </c>
      <c r="V24" s="42">
        <v>28898288</v>
      </c>
      <c r="W24" s="42">
        <v>52886063</v>
      </c>
      <c r="X24" s="42">
        <v>173085441</v>
      </c>
      <c r="Y24" s="42">
        <v>280682970</v>
      </c>
      <c r="Z24" s="42">
        <v>596557496</v>
      </c>
      <c r="AA24" s="42">
        <v>1383942405</v>
      </c>
      <c r="AB24" s="42">
        <v>3221801103</v>
      </c>
      <c r="AC24" s="42">
        <v>4712226221</v>
      </c>
    </row>
    <row r="25" spans="1:29" x14ac:dyDescent="0.2">
      <c r="A25" s="1" t="s">
        <v>6</v>
      </c>
      <c r="B25" s="6">
        <v>34600</v>
      </c>
      <c r="C25" s="6">
        <v>90900</v>
      </c>
      <c r="D25" s="6">
        <v>152000</v>
      </c>
      <c r="E25" s="6">
        <v>379000</v>
      </c>
      <c r="F25" s="6">
        <v>527000</v>
      </c>
      <c r="G25" s="6">
        <v>1160000</v>
      </c>
      <c r="H25" s="6">
        <v>1930000</v>
      </c>
      <c r="I25" s="6">
        <v>2130000</v>
      </c>
      <c r="K25" s="1" t="s">
        <v>6</v>
      </c>
      <c r="L25" s="42">
        <v>18551696</v>
      </c>
      <c r="M25" s="42">
        <v>79525876</v>
      </c>
      <c r="N25" s="42">
        <v>115336424</v>
      </c>
      <c r="O25" s="42">
        <v>231644261</v>
      </c>
      <c r="P25" s="42">
        <v>462220263</v>
      </c>
      <c r="Q25" s="42">
        <v>1188485394</v>
      </c>
      <c r="R25" s="42">
        <v>2214544058</v>
      </c>
      <c r="S25" s="42">
        <v>3894277282</v>
      </c>
      <c r="U25" s="1" t="s">
        <v>6</v>
      </c>
      <c r="V25" s="42">
        <v>33123629</v>
      </c>
      <c r="W25" s="42">
        <v>72057943</v>
      </c>
      <c r="X25" s="42">
        <v>157686381</v>
      </c>
      <c r="Y25" s="42">
        <v>359631652</v>
      </c>
      <c r="Z25" s="42">
        <v>613217377</v>
      </c>
      <c r="AA25" s="42">
        <v>1479339093</v>
      </c>
      <c r="AB25" s="42">
        <v>3174990442</v>
      </c>
      <c r="AC25" s="42">
        <v>4887263199</v>
      </c>
    </row>
    <row r="26" spans="1:29" x14ac:dyDescent="0.2">
      <c r="A26" s="1" t="s">
        <v>7</v>
      </c>
      <c r="B26" s="6">
        <v>32000</v>
      </c>
      <c r="C26" s="6">
        <v>80600</v>
      </c>
      <c r="D26" s="6">
        <v>140000</v>
      </c>
      <c r="E26" s="6">
        <v>385000</v>
      </c>
      <c r="F26" s="6">
        <v>499000</v>
      </c>
      <c r="G26" s="6">
        <v>974000</v>
      </c>
      <c r="H26" s="6">
        <v>1810000</v>
      </c>
      <c r="I26" s="6">
        <v>1930000</v>
      </c>
      <c r="K26" s="1" t="s">
        <v>7</v>
      </c>
      <c r="L26" s="42">
        <v>24097951</v>
      </c>
      <c r="M26" s="42">
        <v>40942029</v>
      </c>
      <c r="N26" s="42">
        <v>104439438</v>
      </c>
      <c r="O26" s="42">
        <v>255057572</v>
      </c>
      <c r="P26" s="42">
        <v>445712277</v>
      </c>
      <c r="Q26" s="42">
        <v>1093508336</v>
      </c>
      <c r="R26" s="42">
        <v>2161449184</v>
      </c>
      <c r="S26" s="42">
        <v>3852769903</v>
      </c>
      <c r="U26" s="1" t="s">
        <v>7</v>
      </c>
      <c r="V26" s="42">
        <v>27371739</v>
      </c>
      <c r="W26" s="42">
        <v>82149301</v>
      </c>
      <c r="X26" s="42">
        <v>144163626</v>
      </c>
      <c r="Y26" s="42">
        <v>433958000</v>
      </c>
      <c r="Z26" s="42">
        <v>574345796</v>
      </c>
      <c r="AA26" s="42">
        <v>1347958447</v>
      </c>
      <c r="AB26" s="42">
        <v>3218978049</v>
      </c>
      <c r="AC26" s="42">
        <v>4789006132</v>
      </c>
    </row>
    <row r="27" spans="1:29" x14ac:dyDescent="0.2">
      <c r="A27" s="2" t="s">
        <v>9</v>
      </c>
      <c r="B27" s="3">
        <f>AVERAGE(B24, B25, B26)</f>
        <v>36500</v>
      </c>
      <c r="C27" s="3">
        <f t="shared" ref="C27:I27" si="5">AVERAGE(C24, C25, C26)</f>
        <v>78533.333333333328</v>
      </c>
      <c r="D27" s="3">
        <f t="shared" si="5"/>
        <v>152333.33333333334</v>
      </c>
      <c r="E27" s="3">
        <f t="shared" si="5"/>
        <v>357666.66666666669</v>
      </c>
      <c r="F27" s="3">
        <f t="shared" si="5"/>
        <v>515000</v>
      </c>
      <c r="G27" s="3">
        <f t="shared" si="5"/>
        <v>1044333.3333333334</v>
      </c>
      <c r="H27" s="3">
        <f t="shared" si="5"/>
        <v>1856666.6666666667</v>
      </c>
      <c r="I27" s="3">
        <f t="shared" si="5"/>
        <v>2066666.6666666667</v>
      </c>
      <c r="K27" s="2" t="s">
        <v>9</v>
      </c>
      <c r="L27" s="3">
        <f t="shared" ref="L27:S27" si="6">AVERAGE(L24, L25, L26)</f>
        <v>22203622.333333332</v>
      </c>
      <c r="M27" s="3">
        <f t="shared" si="6"/>
        <v>54440374.666666664</v>
      </c>
      <c r="N27" s="3">
        <f t="shared" si="6"/>
        <v>111787224.66666667</v>
      </c>
      <c r="O27" s="3">
        <f t="shared" si="6"/>
        <v>237694897</v>
      </c>
      <c r="P27" s="3">
        <f t="shared" si="6"/>
        <v>449237464</v>
      </c>
      <c r="Q27" s="3">
        <f t="shared" si="6"/>
        <v>1139789739</v>
      </c>
      <c r="R27" s="3">
        <f t="shared" si="6"/>
        <v>2200572832.3333335</v>
      </c>
      <c r="S27" s="3">
        <f t="shared" si="6"/>
        <v>3834757126.3333335</v>
      </c>
      <c r="U27" s="2" t="s">
        <v>9</v>
      </c>
      <c r="V27" s="3">
        <f>AVERAGE(V24, V25, V26)</f>
        <v>29797885.333333332</v>
      </c>
      <c r="W27" s="3">
        <f t="shared" ref="W27:AC27" si="7">AVERAGE(W24, W25, W26)</f>
        <v>69031102.333333328</v>
      </c>
      <c r="X27" s="3">
        <f t="shared" si="7"/>
        <v>158311816</v>
      </c>
      <c r="Y27" s="3">
        <f t="shared" si="7"/>
        <v>358090874</v>
      </c>
      <c r="Z27" s="3">
        <f t="shared" si="7"/>
        <v>594706889.66666663</v>
      </c>
      <c r="AA27" s="3">
        <f t="shared" si="7"/>
        <v>1403746648.3333333</v>
      </c>
      <c r="AB27" s="3">
        <f t="shared" si="7"/>
        <v>3205256531.3333335</v>
      </c>
      <c r="AC27" s="3">
        <f t="shared" si="7"/>
        <v>4796165184</v>
      </c>
    </row>
    <row r="29" spans="1:29" x14ac:dyDescent="0.2">
      <c r="A29" s="7"/>
      <c r="B29" s="8"/>
      <c r="C29" s="9"/>
      <c r="D29" s="9"/>
      <c r="E29" s="9"/>
      <c r="F29" s="9"/>
      <c r="G29" s="9"/>
      <c r="H29" s="9"/>
      <c r="I29" s="9"/>
      <c r="K29" s="7"/>
      <c r="L29" s="8"/>
      <c r="M29" s="9"/>
      <c r="N29" s="9"/>
      <c r="O29" s="9"/>
      <c r="P29" s="9"/>
      <c r="Q29" s="9"/>
      <c r="R29" s="9"/>
      <c r="S29" s="9"/>
      <c r="U29" s="7"/>
      <c r="V29" s="8"/>
      <c r="W29" s="9"/>
      <c r="X29" s="9"/>
      <c r="Y29" s="9"/>
      <c r="Z29" s="9"/>
      <c r="AA29" s="9"/>
      <c r="AB29" s="9"/>
      <c r="AC29" s="9"/>
    </row>
    <row r="30" spans="1:29" ht="16" thickBot="1" x14ac:dyDescent="0.25">
      <c r="A30" s="7"/>
      <c r="B30" s="9"/>
      <c r="C30" s="9"/>
      <c r="D30" s="9"/>
      <c r="E30" s="9"/>
      <c r="F30" s="9"/>
      <c r="G30" s="9"/>
      <c r="H30" s="9"/>
      <c r="I30" s="9"/>
      <c r="K30" s="7"/>
      <c r="L30" s="9"/>
      <c r="M30" s="9"/>
      <c r="N30" s="9"/>
      <c r="O30" s="9"/>
      <c r="P30" s="9"/>
      <c r="Q30" s="9"/>
      <c r="R30" s="9"/>
      <c r="S30" s="9"/>
      <c r="U30" s="7"/>
      <c r="V30" s="9"/>
      <c r="W30" s="9"/>
      <c r="X30" s="9"/>
      <c r="Y30" s="9"/>
      <c r="Z30" s="9"/>
      <c r="AA30" s="9"/>
      <c r="AB30" s="9"/>
      <c r="AC30" s="9"/>
    </row>
    <row r="31" spans="1:29" ht="16" thickBot="1" x14ac:dyDescent="0.25">
      <c r="A31" s="26" t="s">
        <v>16</v>
      </c>
      <c r="B31" s="66" t="s">
        <v>21</v>
      </c>
      <c r="C31" s="67"/>
      <c r="D31" s="67"/>
      <c r="E31" s="67"/>
      <c r="F31" s="67"/>
      <c r="G31" s="67"/>
      <c r="H31" s="67"/>
      <c r="I31" s="68"/>
      <c r="K31" s="34" t="s">
        <v>16</v>
      </c>
      <c r="L31" s="64" t="s">
        <v>18</v>
      </c>
      <c r="M31" s="64"/>
      <c r="N31" s="64"/>
      <c r="O31" s="64"/>
      <c r="P31" s="64"/>
      <c r="Q31" s="64"/>
      <c r="R31" s="64"/>
      <c r="S31" s="64"/>
      <c r="U31" s="39" t="s">
        <v>16</v>
      </c>
      <c r="V31" s="64" t="s">
        <v>19</v>
      </c>
      <c r="W31" s="64"/>
      <c r="X31" s="64"/>
      <c r="Y31" s="64"/>
      <c r="Z31" s="64"/>
      <c r="AA31" s="64"/>
      <c r="AB31" s="64"/>
      <c r="AC31" s="64"/>
    </row>
    <row r="32" spans="1:29" ht="16" thickBot="1" x14ac:dyDescent="0.25">
      <c r="A32" s="27" t="s">
        <v>13</v>
      </c>
      <c r="B32" s="11">
        <v>500</v>
      </c>
      <c r="C32" s="10">
        <v>1000</v>
      </c>
      <c r="D32" s="10">
        <v>2500</v>
      </c>
      <c r="E32" s="10">
        <v>5000</v>
      </c>
      <c r="F32" s="10">
        <v>10000</v>
      </c>
      <c r="G32" s="10">
        <v>25000</v>
      </c>
      <c r="H32" s="10">
        <v>50000</v>
      </c>
      <c r="I32" s="10">
        <v>100000</v>
      </c>
      <c r="K32" s="34" t="s">
        <v>13</v>
      </c>
      <c r="L32" s="11">
        <v>500</v>
      </c>
      <c r="M32" s="10">
        <v>1000</v>
      </c>
      <c r="N32" s="10">
        <v>2500</v>
      </c>
      <c r="O32" s="10">
        <v>5000</v>
      </c>
      <c r="P32" s="10">
        <v>10000</v>
      </c>
      <c r="Q32" s="10">
        <v>25000</v>
      </c>
      <c r="R32" s="10">
        <v>50000</v>
      </c>
      <c r="S32" s="10">
        <v>100000</v>
      </c>
      <c r="U32" s="39" t="s">
        <v>13</v>
      </c>
      <c r="V32" s="11">
        <v>500</v>
      </c>
      <c r="W32" s="10">
        <v>1000</v>
      </c>
      <c r="X32" s="10">
        <v>2500</v>
      </c>
      <c r="Y32" s="10">
        <v>5000</v>
      </c>
      <c r="Z32" s="10">
        <v>10000</v>
      </c>
      <c r="AA32" s="10">
        <v>25000</v>
      </c>
      <c r="AB32" s="10">
        <v>50000</v>
      </c>
      <c r="AC32" s="10">
        <v>100000</v>
      </c>
    </row>
    <row r="33" spans="1:29" x14ac:dyDescent="0.2">
      <c r="A33" s="4" t="s">
        <v>5</v>
      </c>
      <c r="B33" s="6">
        <v>34300</v>
      </c>
      <c r="C33" s="6">
        <v>83400</v>
      </c>
      <c r="D33" s="6">
        <v>202000</v>
      </c>
      <c r="E33" s="6">
        <v>410000</v>
      </c>
      <c r="F33" s="6">
        <v>629000</v>
      </c>
      <c r="G33" s="6">
        <v>1450000</v>
      </c>
      <c r="H33" s="6">
        <v>2310000</v>
      </c>
      <c r="I33" s="6">
        <v>2840000</v>
      </c>
      <c r="K33" s="4" t="s">
        <v>5</v>
      </c>
      <c r="L33" s="42">
        <v>12548435</v>
      </c>
      <c r="M33" s="42">
        <v>33815869</v>
      </c>
      <c r="N33" s="42">
        <v>70057743</v>
      </c>
      <c r="O33" s="42">
        <v>142034006</v>
      </c>
      <c r="P33" s="42">
        <v>249887101</v>
      </c>
      <c r="Q33" s="42">
        <v>825896975</v>
      </c>
      <c r="R33" s="42">
        <v>1509658451</v>
      </c>
      <c r="S33" s="42">
        <v>2691703981</v>
      </c>
      <c r="U33" s="4" t="s">
        <v>5</v>
      </c>
      <c r="V33" s="42">
        <v>34155657</v>
      </c>
      <c r="W33" s="42">
        <v>91958037</v>
      </c>
      <c r="X33" s="42">
        <v>219381330</v>
      </c>
      <c r="Y33" s="42">
        <v>447093486</v>
      </c>
      <c r="Z33" s="42">
        <v>753404064</v>
      </c>
      <c r="AA33" s="42">
        <v>2047322784</v>
      </c>
      <c r="AB33" s="42">
        <v>4520272023</v>
      </c>
      <c r="AC33" s="42">
        <v>6955586921</v>
      </c>
    </row>
    <row r="34" spans="1:29" x14ac:dyDescent="0.2">
      <c r="A34" s="1" t="s">
        <v>6</v>
      </c>
      <c r="B34" s="6">
        <v>37400</v>
      </c>
      <c r="C34" s="6">
        <v>83600</v>
      </c>
      <c r="D34" s="6">
        <v>185000</v>
      </c>
      <c r="E34" s="6">
        <v>423000</v>
      </c>
      <c r="F34" s="6">
        <v>675000</v>
      </c>
      <c r="G34" s="6">
        <v>1330000</v>
      </c>
      <c r="H34" s="6">
        <v>2510000</v>
      </c>
      <c r="I34" s="6">
        <v>2990000</v>
      </c>
      <c r="K34" s="1" t="s">
        <v>6</v>
      </c>
      <c r="L34" s="42">
        <v>21673824</v>
      </c>
      <c r="M34" s="42">
        <v>35337003</v>
      </c>
      <c r="N34" s="42">
        <v>68305740</v>
      </c>
      <c r="O34" s="42">
        <v>146377187</v>
      </c>
      <c r="P34" s="42">
        <v>287462354</v>
      </c>
      <c r="Q34" s="42">
        <v>808701673</v>
      </c>
      <c r="R34" s="42">
        <v>1455008139</v>
      </c>
      <c r="S34" s="42">
        <v>2729905135</v>
      </c>
      <c r="U34" s="1" t="s">
        <v>6</v>
      </c>
      <c r="V34" s="42">
        <v>37268116</v>
      </c>
      <c r="W34" s="42">
        <v>92576712</v>
      </c>
      <c r="X34" s="42">
        <v>218625997</v>
      </c>
      <c r="Y34" s="42">
        <v>479329672</v>
      </c>
      <c r="Z34" s="42">
        <v>788365711</v>
      </c>
      <c r="AA34" s="42">
        <v>2002439454</v>
      </c>
      <c r="AB34" s="42">
        <v>4772994077</v>
      </c>
      <c r="AC34" s="42">
        <v>7160265303</v>
      </c>
    </row>
    <row r="35" spans="1:29" x14ac:dyDescent="0.2">
      <c r="A35" s="1" t="s">
        <v>7</v>
      </c>
      <c r="B35" s="6">
        <v>33200</v>
      </c>
      <c r="C35" s="6">
        <v>70800</v>
      </c>
      <c r="D35" s="6">
        <v>214000</v>
      </c>
      <c r="E35" s="6">
        <v>394000</v>
      </c>
      <c r="F35" s="6">
        <v>725000</v>
      </c>
      <c r="G35" s="6">
        <v>1320000</v>
      </c>
      <c r="H35" s="6">
        <v>2680000</v>
      </c>
      <c r="I35" s="6">
        <v>3060000</v>
      </c>
      <c r="K35" s="1" t="s">
        <v>7</v>
      </c>
      <c r="L35" s="42">
        <v>14725457</v>
      </c>
      <c r="M35" s="42">
        <v>33584300</v>
      </c>
      <c r="N35" s="42">
        <v>77062417</v>
      </c>
      <c r="O35" s="42">
        <v>157023054</v>
      </c>
      <c r="P35" s="42">
        <v>301335221</v>
      </c>
      <c r="Q35" s="42">
        <v>782299285</v>
      </c>
      <c r="R35" s="42">
        <v>1470973074</v>
      </c>
      <c r="S35" s="42">
        <v>2697995604</v>
      </c>
      <c r="U35" s="1" t="s">
        <v>7</v>
      </c>
      <c r="V35" s="42">
        <v>38807196</v>
      </c>
      <c r="W35" s="42">
        <v>85119928</v>
      </c>
      <c r="X35" s="42">
        <v>228238982</v>
      </c>
      <c r="Y35" s="42">
        <v>475559595</v>
      </c>
      <c r="Z35" s="42">
        <v>891424648</v>
      </c>
      <c r="AA35" s="42">
        <v>1926027588</v>
      </c>
      <c r="AB35" s="42">
        <v>5124368996</v>
      </c>
      <c r="AC35" s="42">
        <v>7348972647</v>
      </c>
    </row>
    <row r="36" spans="1:29" x14ac:dyDescent="0.2">
      <c r="A36" s="2" t="s">
        <v>9</v>
      </c>
      <c r="B36" s="3">
        <f>AVERAGE(B33:B35)</f>
        <v>34966.666666666664</v>
      </c>
      <c r="C36" s="3">
        <f>AVERAGE(C33:C35)</f>
        <v>79266.666666666672</v>
      </c>
      <c r="D36" s="3">
        <f t="shared" ref="D36:I36" si="8">AVERAGE(D33:D35)</f>
        <v>200333.33333333334</v>
      </c>
      <c r="E36" s="3">
        <f>AVERAGE(E33:E35)</f>
        <v>409000</v>
      </c>
      <c r="F36" s="3">
        <f t="shared" si="8"/>
        <v>676333.33333333337</v>
      </c>
      <c r="G36" s="3">
        <f>AVERAGE(G33:G35)</f>
        <v>1366666.6666666667</v>
      </c>
      <c r="H36" s="3">
        <f t="shared" si="8"/>
        <v>2500000</v>
      </c>
      <c r="I36" s="3">
        <f t="shared" si="8"/>
        <v>2963333.3333333335</v>
      </c>
      <c r="K36" s="2" t="s">
        <v>9</v>
      </c>
      <c r="L36" s="3">
        <f>AVERAGE(L33:L35)</f>
        <v>16315905.333333334</v>
      </c>
      <c r="M36" s="3">
        <f t="shared" ref="M36:S36" si="9">AVERAGE(M33:M35)</f>
        <v>34245724</v>
      </c>
      <c r="N36" s="3">
        <f t="shared" si="9"/>
        <v>71808633.333333328</v>
      </c>
      <c r="O36" s="3">
        <f t="shared" si="9"/>
        <v>148478082.33333334</v>
      </c>
      <c r="P36" s="3">
        <f t="shared" si="9"/>
        <v>279561558.66666669</v>
      </c>
      <c r="Q36" s="3">
        <f t="shared" si="9"/>
        <v>805632644.33333337</v>
      </c>
      <c r="R36" s="3">
        <f t="shared" si="9"/>
        <v>1478546554.6666667</v>
      </c>
      <c r="S36" s="3">
        <f t="shared" si="9"/>
        <v>2706534906.6666665</v>
      </c>
      <c r="U36" s="2" t="s">
        <v>9</v>
      </c>
      <c r="V36" s="3">
        <f>AVERAGE(V33:V35)</f>
        <v>36743656.333333336</v>
      </c>
      <c r="W36" s="3">
        <f t="shared" ref="W36:AB36" si="10">AVERAGE(W33:W35)</f>
        <v>89884892.333333328</v>
      </c>
      <c r="X36" s="3">
        <f t="shared" si="10"/>
        <v>222082103</v>
      </c>
      <c r="Y36" s="3">
        <f>AVERAGE(Y33:Y35)</f>
        <v>467327584.33333331</v>
      </c>
      <c r="Z36" s="3">
        <f t="shared" si="10"/>
        <v>811064807.66666663</v>
      </c>
      <c r="AA36" s="3">
        <f t="shared" si="10"/>
        <v>1991929942</v>
      </c>
      <c r="AB36" s="3">
        <f t="shared" si="10"/>
        <v>4805878365.333333</v>
      </c>
      <c r="AC36" s="3">
        <f>AVERAGE(AC33:AC35)</f>
        <v>7154941623.666667</v>
      </c>
    </row>
    <row r="38" spans="1:29" ht="16" thickBot="1" x14ac:dyDescent="0.25"/>
    <row r="39" spans="1:29" ht="16" thickBot="1" x14ac:dyDescent="0.25">
      <c r="A39" s="28" t="s">
        <v>17</v>
      </c>
      <c r="B39" s="66" t="s">
        <v>21</v>
      </c>
      <c r="C39" s="67"/>
      <c r="D39" s="67"/>
      <c r="E39" s="67"/>
      <c r="F39" s="67"/>
      <c r="G39" s="67"/>
      <c r="H39" s="67"/>
      <c r="I39" s="68"/>
      <c r="K39" s="34" t="s">
        <v>17</v>
      </c>
      <c r="L39" s="64" t="s">
        <v>18</v>
      </c>
      <c r="M39" s="64"/>
      <c r="N39" s="64"/>
      <c r="O39" s="64"/>
      <c r="P39" s="64"/>
      <c r="Q39" s="64"/>
      <c r="R39" s="64"/>
      <c r="S39" s="64"/>
      <c r="U39" s="40" t="s">
        <v>17</v>
      </c>
      <c r="V39" s="64" t="s">
        <v>19</v>
      </c>
      <c r="W39" s="64"/>
      <c r="X39" s="64"/>
      <c r="Y39" s="64"/>
      <c r="Z39" s="64"/>
      <c r="AA39" s="64"/>
      <c r="AB39" s="64"/>
      <c r="AC39" s="64"/>
    </row>
    <row r="40" spans="1:29" ht="16" thickBot="1" x14ac:dyDescent="0.25">
      <c r="A40" s="29" t="s">
        <v>13</v>
      </c>
      <c r="B40" s="11">
        <v>500</v>
      </c>
      <c r="C40" s="10">
        <v>1000</v>
      </c>
      <c r="D40" s="10">
        <v>2500</v>
      </c>
      <c r="E40" s="10">
        <v>5000</v>
      </c>
      <c r="F40" s="10">
        <v>10000</v>
      </c>
      <c r="G40" s="10">
        <v>25000</v>
      </c>
      <c r="H40" s="10">
        <v>50000</v>
      </c>
      <c r="I40" s="10">
        <v>100000</v>
      </c>
      <c r="K40" s="34" t="s">
        <v>13</v>
      </c>
      <c r="L40" s="11">
        <v>500</v>
      </c>
      <c r="M40" s="10">
        <v>1000</v>
      </c>
      <c r="N40" s="10">
        <v>2500</v>
      </c>
      <c r="O40" s="10">
        <v>5000</v>
      </c>
      <c r="P40" s="10">
        <v>10000</v>
      </c>
      <c r="Q40" s="10">
        <v>25000</v>
      </c>
      <c r="R40" s="10">
        <v>50000</v>
      </c>
      <c r="S40" s="10">
        <v>100000</v>
      </c>
      <c r="U40" s="40" t="s">
        <v>13</v>
      </c>
      <c r="V40" s="11">
        <v>500</v>
      </c>
      <c r="W40" s="10">
        <v>1000</v>
      </c>
      <c r="X40" s="10">
        <v>2500</v>
      </c>
      <c r="Y40" s="10">
        <v>5000</v>
      </c>
      <c r="Z40" s="10">
        <v>10000</v>
      </c>
      <c r="AA40" s="10">
        <v>25000</v>
      </c>
      <c r="AB40" s="10">
        <v>50000</v>
      </c>
      <c r="AC40" s="10">
        <v>100000</v>
      </c>
    </row>
    <row r="41" spans="1:29" x14ac:dyDescent="0.2">
      <c r="A41" s="4" t="s">
        <v>5</v>
      </c>
      <c r="B41" s="6">
        <v>846000</v>
      </c>
      <c r="C41" s="6">
        <v>84800</v>
      </c>
      <c r="D41" s="6">
        <v>276000</v>
      </c>
      <c r="E41" s="6">
        <v>530000</v>
      </c>
      <c r="F41" s="6">
        <v>941000</v>
      </c>
      <c r="G41" s="6">
        <v>1720000</v>
      </c>
      <c r="H41" s="6">
        <v>2820000</v>
      </c>
      <c r="I41" s="6">
        <v>3610000</v>
      </c>
      <c r="K41" s="4" t="s">
        <v>5</v>
      </c>
      <c r="L41" s="42">
        <v>13981968</v>
      </c>
      <c r="M41" s="42">
        <v>24480658</v>
      </c>
      <c r="N41" s="42">
        <v>41285395</v>
      </c>
      <c r="O41" s="42">
        <v>82091938</v>
      </c>
      <c r="P41" s="42">
        <v>143997839</v>
      </c>
      <c r="Q41" s="42">
        <v>374336543</v>
      </c>
      <c r="R41" s="42">
        <v>781574871</v>
      </c>
      <c r="S41" s="42">
        <v>1242943388</v>
      </c>
      <c r="U41" s="4" t="s">
        <v>5</v>
      </c>
      <c r="V41" s="42">
        <v>38602854</v>
      </c>
      <c r="W41" s="42">
        <v>105868918</v>
      </c>
      <c r="X41" s="42">
        <v>313355634</v>
      </c>
      <c r="Y41" s="42">
        <v>674710090</v>
      </c>
      <c r="Z41" s="42">
        <v>1161666690</v>
      </c>
      <c r="AA41" s="42">
        <v>2694070433</v>
      </c>
      <c r="AB41" s="42">
        <v>5838563731</v>
      </c>
      <c r="AC41" s="42">
        <v>9071958491</v>
      </c>
    </row>
    <row r="42" spans="1:29" x14ac:dyDescent="0.2">
      <c r="A42" s="1" t="s">
        <v>6</v>
      </c>
      <c r="B42" s="6">
        <v>32800</v>
      </c>
      <c r="C42" s="6">
        <v>139000</v>
      </c>
      <c r="D42" s="6">
        <v>282000</v>
      </c>
      <c r="E42" s="6">
        <v>577000</v>
      </c>
      <c r="F42" s="6">
        <v>896000</v>
      </c>
      <c r="G42" s="6">
        <v>1730000</v>
      </c>
      <c r="H42" s="6">
        <v>2920000</v>
      </c>
      <c r="I42" s="6">
        <v>3640000</v>
      </c>
      <c r="K42" s="1" t="s">
        <v>6</v>
      </c>
      <c r="L42" s="42">
        <v>3369859</v>
      </c>
      <c r="M42" s="42">
        <v>16039694</v>
      </c>
      <c r="N42" s="42">
        <v>43577445</v>
      </c>
      <c r="O42" s="42">
        <v>78359177</v>
      </c>
      <c r="P42" s="42">
        <v>155521011</v>
      </c>
      <c r="Q42" s="42">
        <v>395604004</v>
      </c>
      <c r="R42" s="42">
        <v>747472620</v>
      </c>
      <c r="S42" s="42">
        <v>1285529702</v>
      </c>
      <c r="U42" s="1" t="s">
        <v>6</v>
      </c>
      <c r="V42" s="42">
        <v>26101427</v>
      </c>
      <c r="W42" s="42">
        <v>151161052</v>
      </c>
      <c r="X42" s="42">
        <v>327275826</v>
      </c>
      <c r="Y42" s="42">
        <v>714434517</v>
      </c>
      <c r="Z42" s="42">
        <v>1166068288</v>
      </c>
      <c r="AA42" s="42">
        <v>2749155835</v>
      </c>
      <c r="AB42" s="42">
        <v>5986403365</v>
      </c>
      <c r="AC42" s="42">
        <v>9333972062</v>
      </c>
    </row>
    <row r="43" spans="1:29" x14ac:dyDescent="0.2">
      <c r="A43" s="1" t="s">
        <v>7</v>
      </c>
      <c r="B43" s="6">
        <v>48800</v>
      </c>
      <c r="C43" s="6">
        <v>87900</v>
      </c>
      <c r="D43" s="6">
        <v>297000</v>
      </c>
      <c r="E43" s="6">
        <v>534000</v>
      </c>
      <c r="F43" s="6">
        <v>771000</v>
      </c>
      <c r="G43" s="6">
        <v>1620000</v>
      </c>
      <c r="H43" s="6">
        <v>2730000</v>
      </c>
      <c r="I43" s="6">
        <v>3520000</v>
      </c>
      <c r="K43" s="1" t="s">
        <v>7</v>
      </c>
      <c r="L43" s="42">
        <v>7393444</v>
      </c>
      <c r="M43" s="42">
        <v>21146432</v>
      </c>
      <c r="N43" s="42">
        <v>36165571</v>
      </c>
      <c r="O43" s="42">
        <v>79760478</v>
      </c>
      <c r="P43" s="42">
        <v>154552494</v>
      </c>
      <c r="Q43" s="42">
        <v>361184175</v>
      </c>
      <c r="R43" s="42">
        <v>723889243</v>
      </c>
      <c r="S43" s="42">
        <v>1282625934</v>
      </c>
      <c r="U43" s="1" t="s">
        <v>7</v>
      </c>
      <c r="V43" s="42">
        <v>53005000</v>
      </c>
      <c r="W43" s="42">
        <v>100024736</v>
      </c>
      <c r="X43" s="42">
        <v>336688530</v>
      </c>
      <c r="Y43" s="42">
        <v>686631705</v>
      </c>
      <c r="Z43" s="42">
        <v>1091327352</v>
      </c>
      <c r="AA43" s="42">
        <v>2788044961</v>
      </c>
      <c r="AB43" s="42">
        <v>5754713762</v>
      </c>
      <c r="AC43" s="42">
        <v>9352452979</v>
      </c>
    </row>
    <row r="44" spans="1:29" x14ac:dyDescent="0.2">
      <c r="A44" s="2" t="s">
        <v>9</v>
      </c>
      <c r="B44" s="3">
        <f>AVERAGE(B41, B42, B43)</f>
        <v>309200</v>
      </c>
      <c r="C44" s="3">
        <f>AVERAGE(C41, C42, C43)</f>
        <v>103900</v>
      </c>
      <c r="D44" s="3">
        <f t="shared" ref="D44:H44" si="11">AVERAGE(D41, D42, D43)</f>
        <v>285000</v>
      </c>
      <c r="E44" s="3">
        <f>AVERAGE(E41, E42, E43)</f>
        <v>547000</v>
      </c>
      <c r="F44" s="3">
        <f t="shared" si="11"/>
        <v>869333.33333333337</v>
      </c>
      <c r="G44" s="3">
        <f t="shared" si="11"/>
        <v>1690000</v>
      </c>
      <c r="H44" s="3">
        <f t="shared" si="11"/>
        <v>2823333.3333333335</v>
      </c>
      <c r="I44" s="3">
        <f>AVERAGE(I41, I42, I43)</f>
        <v>3590000</v>
      </c>
      <c r="K44" s="2" t="s">
        <v>9</v>
      </c>
      <c r="L44" s="3">
        <f>AVERAGE(L41, L42, L43)</f>
        <v>8248423.666666667</v>
      </c>
      <c r="M44" s="3">
        <f>AVERAGE(M41, M42, M43)</f>
        <v>20555594.666666668</v>
      </c>
      <c r="N44" s="3">
        <f t="shared" ref="N44:R44" si="12">AVERAGE(N41, N42, N43)</f>
        <v>40342803.666666664</v>
      </c>
      <c r="O44" s="3">
        <f>AVERAGE(O41, O42, O43)</f>
        <v>80070531</v>
      </c>
      <c r="P44" s="3">
        <f t="shared" si="12"/>
        <v>151357114.66666666</v>
      </c>
      <c r="Q44" s="3">
        <f t="shared" si="12"/>
        <v>377041574</v>
      </c>
      <c r="R44" s="3">
        <f t="shared" si="12"/>
        <v>750978911.33333337</v>
      </c>
      <c r="S44" s="3">
        <f>AVERAGE(S41, S42, S43)</f>
        <v>1270366341.3333333</v>
      </c>
      <c r="U44" s="2" t="s">
        <v>9</v>
      </c>
      <c r="V44" s="3">
        <f>AVERAGE(V41, V42, V43)</f>
        <v>39236427</v>
      </c>
      <c r="W44" s="3">
        <f>AVERAGE(W41, W42, W43)</f>
        <v>119018235.33333333</v>
      </c>
      <c r="X44" s="3">
        <f>AVERAGE(X41, X42, X43)</f>
        <v>325773330</v>
      </c>
      <c r="Y44" s="3">
        <f t="shared" ref="Y44:AB44" si="13">AVERAGE(Y41, Y42, Y43)</f>
        <v>691925437.33333337</v>
      </c>
      <c r="Z44" s="3">
        <f t="shared" si="13"/>
        <v>1139687443.3333333</v>
      </c>
      <c r="AA44" s="3">
        <f>AVERAGE(AA41, AA42, AA43)</f>
        <v>2743757076.3333335</v>
      </c>
      <c r="AB44" s="3">
        <f t="shared" si="13"/>
        <v>5859893619.333333</v>
      </c>
      <c r="AC44" s="3">
        <f>AVERAGE(AC41, AC42, AC43)</f>
        <v>9252794510.666666</v>
      </c>
    </row>
    <row r="45" spans="1:29" ht="14" customHeight="1" x14ac:dyDescent="0.2">
      <c r="A45" s="7"/>
      <c r="B45" s="9"/>
      <c r="C45" s="9"/>
      <c r="D45" s="9"/>
      <c r="E45" s="9"/>
      <c r="F45" s="9"/>
      <c r="G45" s="9"/>
      <c r="H45" s="9"/>
      <c r="I45" s="9"/>
      <c r="K45" s="7"/>
      <c r="L45" s="9"/>
      <c r="M45" s="9"/>
      <c r="N45" s="9"/>
      <c r="O45" s="9"/>
      <c r="P45" s="9"/>
      <c r="Q45" s="9"/>
      <c r="R45" s="9"/>
      <c r="S45" s="9"/>
      <c r="U45" s="7"/>
      <c r="V45" s="9"/>
      <c r="W45" s="9"/>
      <c r="X45" s="9"/>
      <c r="Y45" s="9"/>
      <c r="Z45" s="9"/>
      <c r="AA45" s="9"/>
      <c r="AB45" s="9"/>
      <c r="AC45" s="9"/>
    </row>
    <row r="46" spans="1:29" ht="16" thickBot="1" x14ac:dyDescent="0.25"/>
    <row r="47" spans="1:29" ht="16" thickBot="1" x14ac:dyDescent="0.25">
      <c r="A47" s="30" t="s">
        <v>12</v>
      </c>
      <c r="B47" s="66" t="s">
        <v>21</v>
      </c>
      <c r="C47" s="67"/>
      <c r="D47" s="67"/>
      <c r="E47" s="67"/>
      <c r="F47" s="67"/>
      <c r="G47" s="67"/>
      <c r="H47" s="67"/>
      <c r="I47" s="68"/>
      <c r="K47" s="35" t="s">
        <v>12</v>
      </c>
      <c r="L47" s="65" t="s">
        <v>18</v>
      </c>
      <c r="M47" s="64"/>
      <c r="N47" s="64"/>
      <c r="O47" s="64"/>
      <c r="P47" s="64"/>
      <c r="Q47" s="64"/>
      <c r="R47" s="64"/>
      <c r="S47" s="64"/>
      <c r="U47" s="41" t="s">
        <v>12</v>
      </c>
      <c r="V47" s="65" t="s">
        <v>19</v>
      </c>
      <c r="W47" s="64"/>
      <c r="X47" s="64"/>
      <c r="Y47" s="64"/>
      <c r="Z47" s="64"/>
      <c r="AA47" s="64"/>
      <c r="AB47" s="64"/>
      <c r="AC47" s="64"/>
    </row>
    <row r="48" spans="1:29" ht="16" thickBot="1" x14ac:dyDescent="0.25">
      <c r="A48" s="30" t="s">
        <v>13</v>
      </c>
      <c r="B48" s="11">
        <v>500</v>
      </c>
      <c r="C48" s="10">
        <v>1000</v>
      </c>
      <c r="D48" s="10">
        <v>2500</v>
      </c>
      <c r="E48" s="10">
        <v>5000</v>
      </c>
      <c r="F48" s="10">
        <v>10000</v>
      </c>
      <c r="G48" s="10">
        <v>25000</v>
      </c>
      <c r="H48" s="10">
        <v>50000</v>
      </c>
      <c r="I48" s="10">
        <v>100000</v>
      </c>
      <c r="K48" s="35" t="s">
        <v>13</v>
      </c>
      <c r="L48" s="10">
        <v>500</v>
      </c>
      <c r="M48" s="10">
        <v>1000</v>
      </c>
      <c r="N48" s="10">
        <v>2500</v>
      </c>
      <c r="O48" s="10">
        <v>5000</v>
      </c>
      <c r="P48" s="10">
        <v>10000</v>
      </c>
      <c r="Q48" s="10">
        <v>25000</v>
      </c>
      <c r="R48" s="10">
        <v>50000</v>
      </c>
      <c r="S48" s="10">
        <v>100000</v>
      </c>
      <c r="U48" s="41" t="s">
        <v>13</v>
      </c>
      <c r="V48" s="10">
        <v>500</v>
      </c>
      <c r="W48" s="10">
        <v>1000</v>
      </c>
      <c r="X48" s="10">
        <v>2500</v>
      </c>
      <c r="Y48" s="10">
        <v>5000</v>
      </c>
      <c r="Z48" s="10">
        <v>10000</v>
      </c>
      <c r="AA48" s="10">
        <v>25000</v>
      </c>
      <c r="AB48" s="10">
        <v>50000</v>
      </c>
      <c r="AC48" s="10">
        <v>100000</v>
      </c>
    </row>
    <row r="49" spans="1:29" x14ac:dyDescent="0.2">
      <c r="A49" s="4" t="s">
        <v>5</v>
      </c>
      <c r="B49" s="6">
        <v>50300</v>
      </c>
      <c r="C49" s="6">
        <v>161000</v>
      </c>
      <c r="D49" s="6">
        <v>417000</v>
      </c>
      <c r="E49" s="6">
        <v>852000</v>
      </c>
      <c r="F49" s="6">
        <v>1150000</v>
      </c>
      <c r="G49" s="6">
        <v>2070000</v>
      </c>
      <c r="H49" s="6">
        <v>3380000</v>
      </c>
      <c r="I49" s="6">
        <v>4480000</v>
      </c>
      <c r="K49" s="4" t="s">
        <v>5</v>
      </c>
      <c r="L49" s="6"/>
      <c r="M49" s="6"/>
      <c r="N49" s="6"/>
      <c r="O49" s="6"/>
      <c r="P49" s="6"/>
      <c r="Q49" s="6"/>
      <c r="R49" s="6"/>
      <c r="S49" s="6"/>
      <c r="U49" s="4" t="s">
        <v>5</v>
      </c>
      <c r="V49" s="42">
        <v>60880516</v>
      </c>
      <c r="W49" s="42">
        <v>159183099</v>
      </c>
      <c r="X49" s="42">
        <v>450165471</v>
      </c>
      <c r="Y49" s="42">
        <v>1022660597</v>
      </c>
      <c r="Z49" s="42">
        <v>1455527813</v>
      </c>
      <c r="AA49" s="42">
        <v>3373491894</v>
      </c>
      <c r="AB49" s="42">
        <v>7440999336</v>
      </c>
      <c r="AC49" s="42">
        <v>13223376232</v>
      </c>
    </row>
    <row r="50" spans="1:29" x14ac:dyDescent="0.2">
      <c r="A50" s="1" t="s">
        <v>6</v>
      </c>
      <c r="B50" s="6">
        <v>55200</v>
      </c>
      <c r="C50" s="6">
        <v>161000</v>
      </c>
      <c r="D50" s="6">
        <v>404000</v>
      </c>
      <c r="E50" s="6">
        <v>759000</v>
      </c>
      <c r="F50" s="6">
        <v>1120000</v>
      </c>
      <c r="G50" s="6">
        <v>2120000</v>
      </c>
      <c r="H50" s="6">
        <v>3470000</v>
      </c>
      <c r="I50" s="6">
        <v>4470000</v>
      </c>
      <c r="K50" s="1" t="s">
        <v>6</v>
      </c>
      <c r="L50" s="6"/>
      <c r="M50" s="6"/>
      <c r="N50" s="6"/>
      <c r="O50" s="6"/>
      <c r="P50" s="6"/>
      <c r="Q50" s="6"/>
      <c r="R50" s="6"/>
      <c r="S50" s="6"/>
      <c r="U50" s="1" t="s">
        <v>6</v>
      </c>
      <c r="V50" s="42">
        <v>70305570</v>
      </c>
      <c r="W50" s="42">
        <v>178294972</v>
      </c>
      <c r="X50" s="42">
        <v>497769220</v>
      </c>
      <c r="Y50" s="42">
        <v>1004508290</v>
      </c>
      <c r="Z50" s="42">
        <v>1514707542</v>
      </c>
      <c r="AA50" s="42">
        <v>3369888376</v>
      </c>
      <c r="AB50" s="42">
        <v>7883373014</v>
      </c>
      <c r="AC50" s="42">
        <v>13388742615</v>
      </c>
    </row>
    <row r="51" spans="1:29" x14ac:dyDescent="0.2">
      <c r="A51" s="1" t="s">
        <v>7</v>
      </c>
      <c r="B51" s="6">
        <v>49100</v>
      </c>
      <c r="C51" s="6">
        <v>155000</v>
      </c>
      <c r="D51" s="6">
        <v>417000</v>
      </c>
      <c r="E51" s="6">
        <v>742000</v>
      </c>
      <c r="F51" s="6">
        <v>1090000</v>
      </c>
      <c r="G51" s="6">
        <v>2010000</v>
      </c>
      <c r="H51" s="6">
        <v>3480000</v>
      </c>
      <c r="I51" s="6">
        <v>4300000</v>
      </c>
      <c r="K51" s="1" t="s">
        <v>7</v>
      </c>
      <c r="L51" s="6"/>
      <c r="M51" s="6"/>
      <c r="N51" s="6"/>
      <c r="O51" s="6"/>
      <c r="P51" s="6"/>
      <c r="Q51" s="6"/>
      <c r="R51" s="6"/>
      <c r="S51" s="6"/>
      <c r="U51" s="1" t="s">
        <v>7</v>
      </c>
      <c r="V51" s="42">
        <v>56344363</v>
      </c>
      <c r="W51" s="42">
        <v>151748095</v>
      </c>
      <c r="X51" s="42">
        <v>455698891</v>
      </c>
      <c r="Y51" s="42">
        <v>862676787</v>
      </c>
      <c r="Z51" s="42">
        <v>1457617564</v>
      </c>
      <c r="AA51" s="42">
        <v>3291270510</v>
      </c>
      <c r="AB51" s="42">
        <v>7935132930</v>
      </c>
      <c r="AC51" s="42">
        <v>12799144832</v>
      </c>
    </row>
    <row r="52" spans="1:29" x14ac:dyDescent="0.2">
      <c r="A52" s="2" t="s">
        <v>9</v>
      </c>
      <c r="B52" s="3">
        <f>AVERAGE(B49, B50, B51)</f>
        <v>51533.333333333336</v>
      </c>
      <c r="C52" s="3">
        <f t="shared" ref="C52:H52" si="14">AVERAGE(C49, C50, C51)</f>
        <v>159000</v>
      </c>
      <c r="D52" s="3">
        <f t="shared" si="14"/>
        <v>412666.66666666669</v>
      </c>
      <c r="E52" s="3">
        <f>AVERAGE(E49, E50, E51)</f>
        <v>784333.33333333337</v>
      </c>
      <c r="F52" s="3">
        <f t="shared" si="14"/>
        <v>1120000</v>
      </c>
      <c r="G52" s="3">
        <f t="shared" si="14"/>
        <v>2066666.6666666667</v>
      </c>
      <c r="H52" s="3">
        <f t="shared" si="14"/>
        <v>3443333.3333333335</v>
      </c>
      <c r="I52" s="3">
        <f>AVERAGE(I49, I50, I51)</f>
        <v>4416666.666666667</v>
      </c>
      <c r="K52" s="2" t="s">
        <v>9</v>
      </c>
      <c r="L52" s="3"/>
      <c r="M52" s="3"/>
      <c r="N52" s="3"/>
      <c r="O52" s="3"/>
      <c r="P52" s="3"/>
      <c r="Q52" s="3"/>
      <c r="R52" s="3"/>
      <c r="S52" s="3"/>
      <c r="U52" s="2" t="s">
        <v>9</v>
      </c>
      <c r="V52" s="3">
        <f>AVERAGE(V49, V50, V51)</f>
        <v>62510149.666666664</v>
      </c>
      <c r="W52" s="3">
        <f>AVERAGE(W49, W50, W51)</f>
        <v>163075388.66666666</v>
      </c>
      <c r="X52" s="3">
        <f>AVERAGE(X49, X50, X51)</f>
        <v>467877860.66666669</v>
      </c>
      <c r="Y52" s="3">
        <f t="shared" ref="Y52:AC52" si="15">AVERAGE(Y49, Y50, Y51)</f>
        <v>963281891.33333337</v>
      </c>
      <c r="Z52" s="3">
        <f>AVERAGE(Z51, Z50, Z49)</f>
        <v>1475950973</v>
      </c>
      <c r="AA52" s="3">
        <f>AVERAGE(AA49, AA50, AA51)</f>
        <v>3344883593.3333335</v>
      </c>
      <c r="AB52" s="3">
        <f t="shared" si="15"/>
        <v>7753168426.666667</v>
      </c>
      <c r="AC52" s="3">
        <f t="shared" si="15"/>
        <v>13137087893</v>
      </c>
    </row>
    <row r="55" spans="1:29" x14ac:dyDescent="0.2">
      <c r="T55" s="42"/>
    </row>
    <row r="56" spans="1:29" x14ac:dyDescent="0.2">
      <c r="T56" s="42"/>
    </row>
    <row r="57" spans="1:29" x14ac:dyDescent="0.2">
      <c r="T57" s="42"/>
    </row>
  </sheetData>
  <mergeCells count="18">
    <mergeCell ref="B2:I2"/>
    <mergeCell ref="B12:I12"/>
    <mergeCell ref="B22:I22"/>
    <mergeCell ref="B47:I47"/>
    <mergeCell ref="B31:I31"/>
    <mergeCell ref="B39:I39"/>
    <mergeCell ref="L31:S31"/>
    <mergeCell ref="L39:S39"/>
    <mergeCell ref="L47:S47"/>
    <mergeCell ref="L2:S2"/>
    <mergeCell ref="L12:S12"/>
    <mergeCell ref="L22:S22"/>
    <mergeCell ref="V31:AC31"/>
    <mergeCell ref="V39:AC39"/>
    <mergeCell ref="V47:AC47"/>
    <mergeCell ref="V2:AC2"/>
    <mergeCell ref="V12:AC12"/>
    <mergeCell ref="V22:AC2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1:O11"/>
  <sheetViews>
    <sheetView topLeftCell="D1" workbookViewId="0">
      <selection activeCell="U14" sqref="U14"/>
    </sheetView>
  </sheetViews>
  <sheetFormatPr baseColWidth="10" defaultColWidth="8.83203125" defaultRowHeight="15" x14ac:dyDescent="0.2"/>
  <cols>
    <col min="6" max="6" width="4.33203125" customWidth="1"/>
    <col min="7" max="7" width="14.5" customWidth="1"/>
    <col min="8" max="8" width="12" customWidth="1"/>
    <col min="9" max="9" width="11.5" customWidth="1"/>
    <col min="10" max="11" width="12.5" customWidth="1"/>
    <col min="12" max="12" width="13.33203125" customWidth="1"/>
    <col min="13" max="14" width="12.33203125" customWidth="1"/>
  </cols>
  <sheetData>
    <row r="1" spans="7:15" ht="16" thickBot="1" x14ac:dyDescent="0.25"/>
    <row r="2" spans="7:15" ht="16" thickBot="1" x14ac:dyDescent="0.25">
      <c r="H2" s="69" t="s">
        <v>20</v>
      </c>
      <c r="I2" s="70"/>
      <c r="J2" s="70"/>
      <c r="K2" s="70"/>
      <c r="L2" s="70"/>
      <c r="M2" s="70"/>
      <c r="N2" s="70"/>
      <c r="O2" s="71"/>
    </row>
    <row r="3" spans="7:15" ht="16" thickBot="1" x14ac:dyDescent="0.25">
      <c r="G3" t="s">
        <v>4</v>
      </c>
      <c r="H3" s="17" t="s">
        <v>1</v>
      </c>
      <c r="I3" s="18" t="s">
        <v>2</v>
      </c>
      <c r="J3" s="18" t="s">
        <v>15</v>
      </c>
      <c r="K3" s="19" t="s">
        <v>9</v>
      </c>
      <c r="L3" s="17" t="s">
        <v>3</v>
      </c>
      <c r="M3" s="18" t="s">
        <v>0</v>
      </c>
      <c r="N3" s="18" t="s">
        <v>14</v>
      </c>
      <c r="O3" s="19" t="s">
        <v>9</v>
      </c>
    </row>
    <row r="4" spans="7:15" x14ac:dyDescent="0.2">
      <c r="G4">
        <v>500</v>
      </c>
      <c r="H4" s="6">
        <v>24100</v>
      </c>
      <c r="I4" s="6">
        <v>19700</v>
      </c>
      <c r="J4" s="6">
        <v>17700</v>
      </c>
      <c r="K4" s="16">
        <f>AVERAGE(H4:J4)</f>
        <v>20500</v>
      </c>
      <c r="L4" s="6">
        <v>50300</v>
      </c>
      <c r="M4" s="6">
        <v>55200</v>
      </c>
      <c r="N4" s="6">
        <v>49100</v>
      </c>
      <c r="O4" s="20">
        <f t="shared" ref="O4:O11" si="0">AVERAGE(L4:N4)</f>
        <v>51533.333333333336</v>
      </c>
    </row>
    <row r="5" spans="7:15" x14ac:dyDescent="0.2">
      <c r="G5">
        <v>1000</v>
      </c>
      <c r="H5" s="6">
        <v>43000</v>
      </c>
      <c r="I5" s="6">
        <v>45400</v>
      </c>
      <c r="J5" s="6">
        <v>35100</v>
      </c>
      <c r="K5" s="12">
        <f t="shared" ref="K5:K10" si="1">AVERAGE(H5:J5)</f>
        <v>41166.666666666664</v>
      </c>
      <c r="L5" s="6">
        <v>161000</v>
      </c>
      <c r="M5" s="6">
        <v>161000</v>
      </c>
      <c r="N5" s="6">
        <v>155000</v>
      </c>
      <c r="O5" s="14">
        <f t="shared" si="0"/>
        <v>159000</v>
      </c>
    </row>
    <row r="6" spans="7:15" x14ac:dyDescent="0.2">
      <c r="G6">
        <v>2500</v>
      </c>
      <c r="H6" s="6">
        <v>72000</v>
      </c>
      <c r="I6" s="6">
        <v>86500</v>
      </c>
      <c r="J6" s="6">
        <v>73800</v>
      </c>
      <c r="K6" s="12">
        <f t="shared" si="1"/>
        <v>77433.333333333328</v>
      </c>
      <c r="L6" s="6">
        <v>417000</v>
      </c>
      <c r="M6" s="6">
        <v>404000</v>
      </c>
      <c r="N6" s="6">
        <v>417000</v>
      </c>
      <c r="O6" s="14">
        <f t="shared" si="0"/>
        <v>412666.66666666669</v>
      </c>
    </row>
    <row r="7" spans="7:15" x14ac:dyDescent="0.2">
      <c r="G7">
        <v>5000</v>
      </c>
      <c r="H7" s="6">
        <v>142000</v>
      </c>
      <c r="I7" s="6">
        <v>160000</v>
      </c>
      <c r="J7" s="6">
        <v>142000</v>
      </c>
      <c r="K7" s="12">
        <f>AVERAGE(H7:J7)</f>
        <v>148000</v>
      </c>
      <c r="L7" s="6">
        <v>852000</v>
      </c>
      <c r="M7" s="6">
        <v>759000</v>
      </c>
      <c r="N7" s="6">
        <v>742000</v>
      </c>
      <c r="O7" s="14">
        <f t="shared" si="0"/>
        <v>784333.33333333337</v>
      </c>
    </row>
    <row r="8" spans="7:15" x14ac:dyDescent="0.2">
      <c r="G8">
        <v>10000</v>
      </c>
      <c r="H8" s="6">
        <v>285000</v>
      </c>
      <c r="I8" s="6">
        <v>282000</v>
      </c>
      <c r="J8" s="6">
        <v>278000</v>
      </c>
      <c r="K8" s="12">
        <f t="shared" si="1"/>
        <v>281666.66666666669</v>
      </c>
      <c r="L8" s="6">
        <v>1150000</v>
      </c>
      <c r="M8" s="6">
        <v>1120000</v>
      </c>
      <c r="N8" s="6">
        <v>1090000</v>
      </c>
      <c r="O8" s="14">
        <f t="shared" si="0"/>
        <v>1120000</v>
      </c>
    </row>
    <row r="9" spans="7:15" x14ac:dyDescent="0.2">
      <c r="G9">
        <v>25000</v>
      </c>
      <c r="H9" s="6">
        <v>597000</v>
      </c>
      <c r="I9" s="6">
        <v>571000</v>
      </c>
      <c r="J9" s="6">
        <v>495000</v>
      </c>
      <c r="K9" s="12">
        <f t="shared" si="1"/>
        <v>554333.33333333337</v>
      </c>
      <c r="L9" s="6">
        <v>2070000</v>
      </c>
      <c r="M9" s="6">
        <v>2120000</v>
      </c>
      <c r="N9" s="6">
        <v>2010000</v>
      </c>
      <c r="O9" s="14">
        <f t="shared" si="0"/>
        <v>2066666.6666666667</v>
      </c>
    </row>
    <row r="10" spans="7:15" x14ac:dyDescent="0.2">
      <c r="G10">
        <v>50000</v>
      </c>
      <c r="H10" s="6">
        <v>930000</v>
      </c>
      <c r="I10" s="6">
        <v>829000</v>
      </c>
      <c r="J10" s="6">
        <v>690000</v>
      </c>
      <c r="K10" s="12">
        <f t="shared" si="1"/>
        <v>816333.33333333337</v>
      </c>
      <c r="L10" s="6">
        <v>3380000</v>
      </c>
      <c r="M10" s="6">
        <v>3470000</v>
      </c>
      <c r="N10" s="6">
        <v>3480000</v>
      </c>
      <c r="O10" s="14">
        <f t="shared" si="0"/>
        <v>3443333.3333333335</v>
      </c>
    </row>
    <row r="11" spans="7:15" ht="16" thickBot="1" x14ac:dyDescent="0.25">
      <c r="G11">
        <v>100000</v>
      </c>
      <c r="H11" s="6">
        <v>1480000</v>
      </c>
      <c r="I11" s="6">
        <v>1420000</v>
      </c>
      <c r="J11" s="6">
        <v>1330000</v>
      </c>
      <c r="K11" s="13">
        <f>AVERAGE(H11:J11)</f>
        <v>1410000</v>
      </c>
      <c r="L11" s="6">
        <v>4480000</v>
      </c>
      <c r="M11" s="6">
        <v>4470000</v>
      </c>
      <c r="N11" s="6">
        <v>4300000</v>
      </c>
      <c r="O11" s="15">
        <f t="shared" si="0"/>
        <v>4416666.666666667</v>
      </c>
    </row>
  </sheetData>
  <mergeCells count="1">
    <mergeCell ref="H2:O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D1" zoomScale="80" zoomScaleNormal="80" workbookViewId="0">
      <selection activeCell="AD13" sqref="AD13"/>
    </sheetView>
  </sheetViews>
  <sheetFormatPr baseColWidth="10" defaultColWidth="8.83203125" defaultRowHeight="1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Formatted</vt:lpstr>
      <vt:lpstr>Sens &amp; Resist coculture ratios</vt:lpstr>
      <vt:lpstr>Sensitive &amp; Resist monocultu</vt:lpstr>
      <vt:lpstr>Spheroid areas for plated cells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 Emond</dc:creator>
  <cp:lastModifiedBy>West, Jeffrey B</cp:lastModifiedBy>
  <dcterms:created xsi:type="dcterms:W3CDTF">2021-01-29T23:30:39Z</dcterms:created>
  <dcterms:modified xsi:type="dcterms:W3CDTF">2023-05-25T20:41:40Z</dcterms:modified>
</cp:coreProperties>
</file>