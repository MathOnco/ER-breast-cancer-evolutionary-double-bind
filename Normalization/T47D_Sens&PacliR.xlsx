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4467383/Documents/breast-cancer-coh/Normalization/"/>
    </mc:Choice>
  </mc:AlternateContent>
  <xr:revisionPtr revIDLastSave="0" documentId="13_ncr:1_{E4361673-6695-7142-B5D9-1711DE886D5A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Formatted" sheetId="5" r:id="rId1"/>
    <sheet name="Sensitive &amp; Resist monocultu" sheetId="1" r:id="rId2"/>
    <sheet name="Sens &amp; Resist coculture ratios" sheetId="2" r:id="rId3"/>
    <sheet name="Spheroid areas for plated cel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B19" i="5"/>
  <c r="K18" i="5"/>
  <c r="J18" i="5"/>
  <c r="I18" i="5"/>
  <c r="H18" i="5"/>
  <c r="G18" i="5"/>
  <c r="F18" i="5"/>
  <c r="E18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S3" i="5"/>
  <c r="R3" i="5"/>
  <c r="Q3" i="5"/>
  <c r="P3" i="5"/>
  <c r="O3" i="5"/>
  <c r="N3" i="5"/>
  <c r="M3" i="5"/>
  <c r="K10" i="1"/>
  <c r="K6" i="1"/>
  <c r="X52" i="2"/>
  <c r="U52" i="2"/>
  <c r="H52" i="2"/>
  <c r="D52" i="2"/>
  <c r="Q7" i="2"/>
  <c r="M7" i="2"/>
  <c r="H7" i="2"/>
  <c r="D7" i="2"/>
  <c r="Q44" i="2"/>
  <c r="M44" i="2"/>
  <c r="Z44" i="2"/>
  <c r="X44" i="2"/>
  <c r="U44" i="2"/>
  <c r="H44" i="2"/>
  <c r="D44" i="2"/>
  <c r="K36" i="2"/>
  <c r="L36" i="2"/>
  <c r="M36" i="2"/>
  <c r="N36" i="2"/>
  <c r="O36" i="2"/>
  <c r="P36" i="2"/>
  <c r="Q36" i="2"/>
  <c r="Z36" i="2"/>
  <c r="V36" i="2"/>
  <c r="T36" i="2"/>
  <c r="U36" i="2"/>
  <c r="W36" i="2"/>
  <c r="X36" i="2"/>
  <c r="Y36" i="2"/>
  <c r="F36" i="2"/>
  <c r="D36" i="2"/>
  <c r="B36" i="2"/>
  <c r="C36" i="2"/>
  <c r="E36" i="2"/>
  <c r="G36" i="2"/>
  <c r="H36" i="2"/>
  <c r="K17" i="2"/>
  <c r="L17" i="2"/>
  <c r="M17" i="2"/>
  <c r="N17" i="2"/>
  <c r="O17" i="2"/>
  <c r="P17" i="2"/>
  <c r="Q17" i="2"/>
  <c r="Z17" i="2"/>
  <c r="T17" i="2"/>
  <c r="U17" i="2"/>
  <c r="V17" i="2"/>
  <c r="W17" i="2"/>
  <c r="X17" i="2"/>
  <c r="Y17" i="2"/>
  <c r="B7" i="2"/>
  <c r="G17" i="2"/>
  <c r="D17" i="2"/>
  <c r="C17" i="2"/>
  <c r="B17" i="2"/>
  <c r="E17" i="2"/>
  <c r="F17" i="2"/>
  <c r="H17" i="2"/>
  <c r="W52" i="2"/>
  <c r="T52" i="2"/>
  <c r="Z52" i="2"/>
  <c r="Y52" i="2"/>
  <c r="V52" i="2"/>
  <c r="Y44" i="2"/>
  <c r="W44" i="2"/>
  <c r="V44" i="2"/>
  <c r="T44" i="2"/>
  <c r="Z27" i="2"/>
  <c r="Y27" i="2"/>
  <c r="X27" i="2"/>
  <c r="W27" i="2"/>
  <c r="V27" i="2"/>
  <c r="U27" i="2"/>
  <c r="T27" i="2"/>
  <c r="P44" i="2"/>
  <c r="O44" i="2"/>
  <c r="N44" i="2"/>
  <c r="L44" i="2"/>
  <c r="K44" i="2"/>
  <c r="Q27" i="2"/>
  <c r="P27" i="2"/>
  <c r="O27" i="2"/>
  <c r="N27" i="2"/>
  <c r="M27" i="2"/>
  <c r="L27" i="2"/>
  <c r="K27" i="2"/>
  <c r="P7" i="2"/>
  <c r="K7" i="2"/>
  <c r="O7" i="2"/>
  <c r="N7" i="2"/>
  <c r="L7" i="2"/>
  <c r="B44" i="2"/>
  <c r="G44" i="2"/>
  <c r="F44" i="2"/>
  <c r="E44" i="2"/>
  <c r="C44" i="2"/>
  <c r="B52" i="2"/>
  <c r="C52" i="2"/>
  <c r="E52" i="2"/>
  <c r="F52" i="2"/>
  <c r="G52" i="2"/>
  <c r="O4" i="1"/>
  <c r="O5" i="1"/>
  <c r="O6" i="1"/>
  <c r="O7" i="1"/>
  <c r="O8" i="1"/>
  <c r="O9" i="1"/>
  <c r="O10" i="1"/>
  <c r="K8" i="1"/>
  <c r="K4" i="1"/>
  <c r="K5" i="1"/>
  <c r="K7" i="1"/>
  <c r="K9" i="1"/>
  <c r="B27" i="2"/>
  <c r="H27" i="2"/>
  <c r="G27" i="2"/>
  <c r="F27" i="2"/>
  <c r="E27" i="2"/>
  <c r="D27" i="2"/>
  <c r="C27" i="2"/>
  <c r="G7" i="2"/>
  <c r="F7" i="2"/>
  <c r="E7" i="2"/>
  <c r="C7" i="2"/>
</calcChain>
</file>

<file path=xl/sharedStrings.xml><?xml version="1.0" encoding="utf-8"?>
<sst xmlns="http://schemas.openxmlformats.org/spreadsheetml/2006/main" count="124" uniqueCount="25">
  <si>
    <t>Resistant 2</t>
  </si>
  <si>
    <t>Sensitive 1</t>
  </si>
  <si>
    <t>Sensitive 2</t>
  </si>
  <si>
    <t>Resistant 1</t>
  </si>
  <si>
    <t>Cells plated</t>
  </si>
  <si>
    <t>Rep 1</t>
  </si>
  <si>
    <t>Rep 2</t>
  </si>
  <si>
    <t>Rep 3</t>
  </si>
  <si>
    <t>100% Sensitive - 0% Resistant</t>
  </si>
  <si>
    <t>Average</t>
  </si>
  <si>
    <t>80% Sensitive - 20% Resistant</t>
  </si>
  <si>
    <t>60% Sensitive - 40% Resistant</t>
  </si>
  <si>
    <t>0% Sensitive - 100% Resistant</t>
  </si>
  <si>
    <t>Cells Plated</t>
  </si>
  <si>
    <t>Resistant 3</t>
  </si>
  <si>
    <t>Sensitive 3</t>
  </si>
  <si>
    <t>40% Sensitive - 60% Resistant</t>
  </si>
  <si>
    <t>20% Sensitive - 80% Resistant</t>
  </si>
  <si>
    <t xml:space="preserve">MCF7 </t>
  </si>
  <si>
    <t>YFP Fluoresence Intensities</t>
  </si>
  <si>
    <t>CFP Fluorescence Intensities</t>
  </si>
  <si>
    <t>S</t>
  </si>
  <si>
    <t>R</t>
  </si>
  <si>
    <t>Replicate</t>
  </si>
  <si>
    <t>color_index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</si>
</sst>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1878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967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right"/>
    </xf>
    <xf numFmtId="2" fontId="0" fillId="2" borderId="1" xfId="0" applyNumberFormat="1" applyFill="1" applyBorder="1"/>
    <xf numFmtId="0" fontId="0" fillId="0" borderId="3" xfId="0" applyBorder="1" applyAlignment="1">
      <alignment horizontal="right"/>
    </xf>
    <xf numFmtId="0" fontId="0" fillId="0" borderId="7" xfId="0" applyBorder="1"/>
    <xf numFmtId="11" fontId="1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9" xfId="0" applyBorder="1"/>
    <xf numFmtId="11" fontId="1" fillId="0" borderId="15" xfId="0" applyNumberFormat="1" applyFont="1" applyBorder="1" applyAlignment="1">
      <alignment horizontal="center" vertical="center" wrapText="1"/>
    </xf>
    <xf numFmtId="11" fontId="1" fillId="0" borderId="16" xfId="0" applyNumberFormat="1" applyFont="1" applyBorder="1" applyAlignment="1">
      <alignment horizontal="center" vertical="center" wrapText="1"/>
    </xf>
    <xf numFmtId="11" fontId="0" fillId="0" borderId="17" xfId="0" applyNumberFormat="1" applyBorder="1"/>
    <xf numFmtId="11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8" borderId="1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11" borderId="1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14" xfId="0" applyBorder="1"/>
    <xf numFmtId="0" fontId="0" fillId="4" borderId="13" xfId="0" applyFill="1" applyBorder="1" applyAlignment="1">
      <alignment vertical="center"/>
    </xf>
    <xf numFmtId="11" fontId="1" fillId="0" borderId="0" xfId="0" applyNumberFormat="1" applyFont="1" applyAlignment="1">
      <alignment horizontal="center" vertical="center" wrapText="1"/>
    </xf>
    <xf numFmtId="0" fontId="0" fillId="0" borderId="24" xfId="0" applyBorder="1"/>
    <xf numFmtId="0" fontId="0" fillId="8" borderId="12" xfId="0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679F"/>
      <color rgb="FF255D8F"/>
      <color rgb="FF91878F"/>
      <color rgb="FF877D85"/>
      <color rgb="FF80767E"/>
      <color rgb="FF504A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count to spheroid area post</a:t>
            </a:r>
            <a:r>
              <a:rPr lang="en-US" baseline="0"/>
              <a:t> 24H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'Sensitive &amp; Resist monocultu'!$G$4:$G$10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'Sensitive &amp; Resist monocultu'!$K$4:$K$10</c:f>
              <c:numCache>
                <c:formatCode>0.00E+00</c:formatCode>
                <c:ptCount val="7"/>
                <c:pt idx="0">
                  <c:v>65266.666666666664</c:v>
                </c:pt>
                <c:pt idx="1">
                  <c:v>156333.33333333334</c:v>
                </c:pt>
                <c:pt idx="2">
                  <c:v>290666.66666666669</c:v>
                </c:pt>
                <c:pt idx="3">
                  <c:v>556333.33333333337</c:v>
                </c:pt>
                <c:pt idx="4">
                  <c:v>1025666.6666666666</c:v>
                </c:pt>
                <c:pt idx="5">
                  <c:v>1850000</c:v>
                </c:pt>
                <c:pt idx="6">
                  <c:v>2896666.6666666665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1-41DD-9965-65B5BEC80C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'Sensitive &amp; Resist monocultu'!$G$4:$G$10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'Sensitive &amp; Resist monocultu'!$O$4:$O$10</c:f>
              <c:numCache>
                <c:formatCode>0.00E+00</c:formatCode>
                <c:ptCount val="7"/>
                <c:pt idx="0">
                  <c:v>74466.666666666672</c:v>
                </c:pt>
                <c:pt idx="1">
                  <c:v>187000</c:v>
                </c:pt>
                <c:pt idx="2">
                  <c:v>383666.66666666669</c:v>
                </c:pt>
                <c:pt idx="3">
                  <c:v>630000</c:v>
                </c:pt>
                <c:pt idx="4">
                  <c:v>1370000</c:v>
                </c:pt>
                <c:pt idx="5">
                  <c:v>2166666.6666666665</c:v>
                </c:pt>
                <c:pt idx="6">
                  <c:v>3306666.6666666665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A1-41DD-9965-65B5BEC80C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'Sensitive &amp; Resist monocultu'!$G$4:$G$10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xVal>
          <c:yVal>
            <c:numRef>
              <c:f>'Sensitive &amp; Resist monocultu'!#REF!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A1-41DD-9965-65B5BEC80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70656"/>
        <c:axId val="462191208"/>
      </c:scatterChart>
      <c:valAx>
        <c:axId val="46587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91208"/>
        <c:crosses val="autoZero"/>
        <c:crossBetween val="midCat"/>
      </c:valAx>
      <c:valAx>
        <c:axId val="46219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87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ratios'!$B$7:$H$7</c:f>
              <c:numCache>
                <c:formatCode>0.00</c:formatCode>
                <c:ptCount val="7"/>
                <c:pt idx="0">
                  <c:v>65266.666666666664</c:v>
                </c:pt>
                <c:pt idx="1">
                  <c:v>156333.33333333334</c:v>
                </c:pt>
                <c:pt idx="2">
                  <c:v>290666.66666666669</c:v>
                </c:pt>
                <c:pt idx="3">
                  <c:v>556333.33333333337</c:v>
                </c:pt>
                <c:pt idx="4">
                  <c:v>1025666.6666666666</c:v>
                </c:pt>
                <c:pt idx="5">
                  <c:v>1850000</c:v>
                </c:pt>
                <c:pt idx="6">
                  <c:v>2896666.6666666665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0-4294-BCF3-83201A8966AD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ratios'!$B$17:$H$17</c:f>
              <c:numCache>
                <c:formatCode>0.00</c:formatCode>
                <c:ptCount val="7"/>
                <c:pt idx="0">
                  <c:v>62133.333333333336</c:v>
                </c:pt>
                <c:pt idx="1">
                  <c:v>164333.33333333334</c:v>
                </c:pt>
                <c:pt idx="2">
                  <c:v>249000</c:v>
                </c:pt>
                <c:pt idx="3">
                  <c:v>525000</c:v>
                </c:pt>
                <c:pt idx="4">
                  <c:v>1043333.3333333334</c:v>
                </c:pt>
                <c:pt idx="5">
                  <c:v>1963333.3333333333</c:v>
                </c:pt>
                <c:pt idx="6">
                  <c:v>3126666.6666666665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0-4294-BCF3-83201A8966AD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ratios'!$B$27:$H$27</c:f>
              <c:numCache>
                <c:formatCode>0.00</c:formatCode>
                <c:ptCount val="7"/>
                <c:pt idx="0">
                  <c:v>82366.666666666672</c:v>
                </c:pt>
                <c:pt idx="1">
                  <c:v>143666.66666666666</c:v>
                </c:pt>
                <c:pt idx="2">
                  <c:v>283333.33333333331</c:v>
                </c:pt>
                <c:pt idx="3">
                  <c:v>531333.33333333337</c:v>
                </c:pt>
                <c:pt idx="4">
                  <c:v>1093333.3333333333</c:v>
                </c:pt>
                <c:pt idx="5">
                  <c:v>2003333.3333333333</c:v>
                </c:pt>
                <c:pt idx="6">
                  <c:v>3036666.6666666665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D0-4294-BCF3-83201A8966AD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ratios'!$B$36:$H$36</c:f>
              <c:numCache>
                <c:formatCode>0.00</c:formatCode>
                <c:ptCount val="7"/>
                <c:pt idx="0">
                  <c:v>63433.333333333336</c:v>
                </c:pt>
                <c:pt idx="1">
                  <c:v>164333.33333333334</c:v>
                </c:pt>
                <c:pt idx="2">
                  <c:v>323000</c:v>
                </c:pt>
                <c:pt idx="3">
                  <c:v>642666.66666666663</c:v>
                </c:pt>
                <c:pt idx="4">
                  <c:v>1260000</c:v>
                </c:pt>
                <c:pt idx="5">
                  <c:v>2233333.3333333335</c:v>
                </c:pt>
                <c:pt idx="6">
                  <c:v>3310000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A4-4F3D-BA2E-B1CA719192AA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ratios'!$B$44:$H$44</c:f>
              <c:numCache>
                <c:formatCode>0.00</c:formatCode>
                <c:ptCount val="7"/>
                <c:pt idx="0">
                  <c:v>93066.666666666672</c:v>
                </c:pt>
                <c:pt idx="1">
                  <c:v>179333.33333333334</c:v>
                </c:pt>
                <c:pt idx="2">
                  <c:v>338333.33333333331</c:v>
                </c:pt>
                <c:pt idx="3">
                  <c:v>601333.33333333337</c:v>
                </c:pt>
                <c:pt idx="4">
                  <c:v>1333333.3333333333</c:v>
                </c:pt>
                <c:pt idx="5">
                  <c:v>2153333.3333333335</c:v>
                </c:pt>
                <c:pt idx="6">
                  <c:v>3110000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4-4F3D-BA2E-B1CA719192AA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ratios'!$B$52:$H$52</c:f>
              <c:numCache>
                <c:formatCode>0.00</c:formatCode>
                <c:ptCount val="7"/>
                <c:pt idx="0">
                  <c:v>74466.666666666672</c:v>
                </c:pt>
                <c:pt idx="1">
                  <c:v>187000</c:v>
                </c:pt>
                <c:pt idx="2">
                  <c:v>383666.66666666669</c:v>
                </c:pt>
                <c:pt idx="3">
                  <c:v>630000</c:v>
                </c:pt>
                <c:pt idx="4">
                  <c:v>1370000</c:v>
                </c:pt>
                <c:pt idx="5">
                  <c:v>2166666.6666666665</c:v>
                </c:pt>
                <c:pt idx="6">
                  <c:v>3306666.6666666665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D0-4294-BCF3-83201A89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ratios'!$B$48:$H$48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2500</c:v>
                      </c:pt>
                      <c:pt idx="2">
                        <c:v>5000</c:v>
                      </c:pt>
                      <c:pt idx="3">
                        <c:v>10000</c:v>
                      </c:pt>
                      <c:pt idx="4">
                        <c:v>25000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ED0-4294-BCF3-83201A8966A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ratios'!$B$48:$H$48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2500</c:v>
                      </c:pt>
                      <c:pt idx="2">
                        <c:v>5000</c:v>
                      </c:pt>
                      <c:pt idx="3">
                        <c:v>10000</c:v>
                      </c:pt>
                      <c:pt idx="4">
                        <c:v>25000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D0-4294-BCF3-83201A8966AD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Spheroid area for plated cells of</a:t>
            </a:r>
            <a:r>
              <a:rPr lang="en-US" baseline="0"/>
              <a:t> different ratios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 S - 0 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ratios'!$B$7:$H$7</c:f>
              <c:numCache>
                <c:formatCode>0.00</c:formatCode>
                <c:ptCount val="7"/>
                <c:pt idx="0">
                  <c:v>65266.666666666664</c:v>
                </c:pt>
                <c:pt idx="1">
                  <c:v>156333.33333333334</c:v>
                </c:pt>
                <c:pt idx="2">
                  <c:v>290666.66666666669</c:v>
                </c:pt>
                <c:pt idx="3">
                  <c:v>556333.33333333337</c:v>
                </c:pt>
                <c:pt idx="4">
                  <c:v>1025666.6666666666</c:v>
                </c:pt>
                <c:pt idx="5">
                  <c:v>1850000</c:v>
                </c:pt>
                <c:pt idx="6">
                  <c:v>2896666.6666666665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A-4C26-942D-60A93F791D02}"/>
            </c:ext>
          </c:extLst>
        </c:ser>
        <c:ser>
          <c:idx val="2"/>
          <c:order val="2"/>
          <c:tx>
            <c:v>80 S - 20 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ratios'!$B$17:$H$17</c:f>
              <c:numCache>
                <c:formatCode>0.00</c:formatCode>
                <c:ptCount val="7"/>
                <c:pt idx="0">
                  <c:v>62133.333333333336</c:v>
                </c:pt>
                <c:pt idx="1">
                  <c:v>164333.33333333334</c:v>
                </c:pt>
                <c:pt idx="2">
                  <c:v>249000</c:v>
                </c:pt>
                <c:pt idx="3">
                  <c:v>525000</c:v>
                </c:pt>
                <c:pt idx="4">
                  <c:v>1043333.3333333334</c:v>
                </c:pt>
                <c:pt idx="5">
                  <c:v>1963333.3333333333</c:v>
                </c:pt>
                <c:pt idx="6">
                  <c:v>3126666.6666666665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A-4C26-942D-60A93F791D02}"/>
            </c:ext>
          </c:extLst>
        </c:ser>
        <c:ser>
          <c:idx val="4"/>
          <c:order val="4"/>
          <c:tx>
            <c:v>60 S - 40 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ratios'!$B$27:$H$27</c:f>
              <c:numCache>
                <c:formatCode>0.00</c:formatCode>
                <c:ptCount val="7"/>
                <c:pt idx="0">
                  <c:v>82366.666666666672</c:v>
                </c:pt>
                <c:pt idx="1">
                  <c:v>143666.66666666666</c:v>
                </c:pt>
                <c:pt idx="2">
                  <c:v>283333.33333333331</c:v>
                </c:pt>
                <c:pt idx="3">
                  <c:v>531333.33333333337</c:v>
                </c:pt>
                <c:pt idx="4">
                  <c:v>1093333.3333333333</c:v>
                </c:pt>
                <c:pt idx="5">
                  <c:v>2003333.3333333333</c:v>
                </c:pt>
                <c:pt idx="6">
                  <c:v>3036666.6666666665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A-4C26-942D-60A93F791D02}"/>
            </c:ext>
          </c:extLst>
        </c:ser>
        <c:ser>
          <c:idx val="6"/>
          <c:order val="5"/>
          <c:tx>
            <c:v>40 S - 60 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ratios'!$B$36:$H$36</c:f>
              <c:numCache>
                <c:formatCode>0.00</c:formatCode>
                <c:ptCount val="7"/>
                <c:pt idx="0">
                  <c:v>63433.333333333336</c:v>
                </c:pt>
                <c:pt idx="1">
                  <c:v>164333.33333333334</c:v>
                </c:pt>
                <c:pt idx="2">
                  <c:v>323000</c:v>
                </c:pt>
                <c:pt idx="3">
                  <c:v>642666.66666666663</c:v>
                </c:pt>
                <c:pt idx="4">
                  <c:v>1260000</c:v>
                </c:pt>
                <c:pt idx="5">
                  <c:v>2233333.3333333335</c:v>
                </c:pt>
                <c:pt idx="6">
                  <c:v>3310000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A-4C26-942D-60A93F791D02}"/>
            </c:ext>
          </c:extLst>
        </c:ser>
        <c:ser>
          <c:idx val="7"/>
          <c:order val="6"/>
          <c:tx>
            <c:v>20 S - 80 R 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ratios'!$B$44:$H$44</c:f>
              <c:numCache>
                <c:formatCode>0.00</c:formatCode>
                <c:ptCount val="7"/>
                <c:pt idx="0">
                  <c:v>93066.666666666672</c:v>
                </c:pt>
                <c:pt idx="1">
                  <c:v>179333.33333333334</c:v>
                </c:pt>
                <c:pt idx="2">
                  <c:v>338333.33333333331</c:v>
                </c:pt>
                <c:pt idx="3">
                  <c:v>601333.33333333337</c:v>
                </c:pt>
                <c:pt idx="4">
                  <c:v>1333333.3333333333</c:v>
                </c:pt>
                <c:pt idx="5">
                  <c:v>2153333.3333333335</c:v>
                </c:pt>
                <c:pt idx="6">
                  <c:v>3110000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7A-4C26-942D-60A93F791D02}"/>
            </c:ext>
          </c:extLst>
        </c:ser>
        <c:ser>
          <c:idx val="5"/>
          <c:order val="7"/>
          <c:tx>
            <c:v>0 S - 100 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'Sens &amp; Resist coculture ratios'!$B$48:$H$48</c:f>
              <c:numCache>
                <c:formatCode>General</c:formatCode>
                <c:ptCount val="7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10000</c:v>
                </c:pt>
                <c:pt idx="4">
                  <c:v>25000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'Sens &amp; Resist coculture ratios'!$B$52:$H$52</c:f>
              <c:numCache>
                <c:formatCode>0.00</c:formatCode>
                <c:ptCount val="7"/>
                <c:pt idx="0">
                  <c:v>74466.666666666672</c:v>
                </c:pt>
                <c:pt idx="1">
                  <c:v>187000</c:v>
                </c:pt>
                <c:pt idx="2">
                  <c:v>383666.66666666669</c:v>
                </c:pt>
                <c:pt idx="3">
                  <c:v>630000</c:v>
                </c:pt>
                <c:pt idx="4">
                  <c:v>1370000</c:v>
                </c:pt>
                <c:pt idx="5">
                  <c:v>2166666.6666666665</c:v>
                </c:pt>
                <c:pt idx="6">
                  <c:v>3306666.6666666665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7A-4C26-942D-60A93F791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42128"/>
        <c:axId val="46983983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90 S - 10 R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'Sens &amp; Resist coculture ratios'!$B$48:$H$48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2500</c:v>
                      </c:pt>
                      <c:pt idx="2">
                        <c:v>5000</c:v>
                      </c:pt>
                      <c:pt idx="3">
                        <c:v>10000</c:v>
                      </c:pt>
                      <c:pt idx="4">
                        <c:v>25000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7A-4C26-942D-60A93F791D0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70 S - 30 R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ratios'!$B$48:$H$48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2500</c:v>
                      </c:pt>
                      <c:pt idx="2">
                        <c:v>5000</c:v>
                      </c:pt>
                      <c:pt idx="3">
                        <c:v>10000</c:v>
                      </c:pt>
                      <c:pt idx="4">
                        <c:v>25000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'Sens &amp; Resist coculture ratios'!#REF!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17A-4C26-942D-60A93F791D02}"/>
                  </c:ext>
                </c:extLst>
              </c15:ser>
            </c15:filteredLineSeries>
          </c:ext>
        </c:extLst>
      </c:lineChart>
      <c:catAx>
        <c:axId val="46984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Cells Plated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39832"/>
        <c:crosses val="autoZero"/>
        <c:auto val="1"/>
        <c:lblAlgn val="ctr"/>
        <c:lblOffset val="100"/>
        <c:noMultiLvlLbl val="0"/>
      </c:catAx>
      <c:valAx>
        <c:axId val="46983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Spheroid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10</xdr:row>
      <xdr:rowOff>85724</xdr:rowOff>
    </xdr:from>
    <xdr:to>
      <xdr:col>16</xdr:col>
      <xdr:colOff>409575</xdr:colOff>
      <xdr:row>32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245428</xdr:colOff>
      <xdr:row>61</xdr:row>
      <xdr:rowOff>96945</xdr:rowOff>
    </xdr:from>
    <xdr:to>
      <xdr:col>10</xdr:col>
      <xdr:colOff>441325</xdr:colOff>
      <xdr:row>89</xdr:row>
      <xdr:rowOff>93345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9F9AD4-F184-4660-84A5-6A6B84F78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20849</xdr:colOff>
      <xdr:row>5</xdr:row>
      <xdr:rowOff>155047</xdr:rowOff>
    </xdr:from>
    <xdr:to>
      <xdr:col>32</xdr:col>
      <xdr:colOff>261937</xdr:colOff>
      <xdr:row>45</xdr:row>
      <xdr:rowOff>154781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C61DC4-B7BD-452C-AD3C-00D7993BA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ECA3-2FDE-734E-950A-F52F28E19659}">
  <dimension ref="A1:T20"/>
  <sheetViews>
    <sheetView tabSelected="1" topLeftCell="A2" workbookViewId="0">
      <selection activeCell="F34" sqref="F34"/>
    </sheetView>
  </sheetViews>
  <sheetFormatPr baseColWidth="10" defaultRowHeight="15" x14ac:dyDescent="0.2"/>
  <sheetData>
    <row r="1" spans="1:20" x14ac:dyDescent="0.2">
      <c r="D1" s="53" t="s">
        <v>19</v>
      </c>
      <c r="E1" s="53"/>
      <c r="F1" s="53"/>
      <c r="G1" s="53"/>
      <c r="H1" s="53"/>
      <c r="I1" s="53"/>
      <c r="J1" s="53"/>
      <c r="K1" s="53"/>
      <c r="L1" s="54" t="s">
        <v>20</v>
      </c>
      <c r="M1" s="54"/>
      <c r="N1" s="54"/>
      <c r="O1" s="54"/>
      <c r="P1" s="54"/>
      <c r="Q1" s="54"/>
      <c r="R1" s="54"/>
      <c r="S1" s="54"/>
      <c r="T1" s="55"/>
    </row>
    <row r="2" spans="1:20" ht="16" thickBot="1" x14ac:dyDescent="0.25">
      <c r="A2" s="56" t="s">
        <v>21</v>
      </c>
      <c r="B2" s="56" t="s">
        <v>22</v>
      </c>
      <c r="C2" s="57" t="s">
        <v>23</v>
      </c>
      <c r="D2" s="56"/>
      <c r="E2" s="5">
        <v>1000</v>
      </c>
      <c r="F2" s="5">
        <v>2500</v>
      </c>
      <c r="G2" s="5">
        <v>5000</v>
      </c>
      <c r="H2" s="5">
        <v>10000</v>
      </c>
      <c r="I2" s="5">
        <v>25000</v>
      </c>
      <c r="J2" s="5">
        <v>50000</v>
      </c>
      <c r="K2" s="5">
        <v>100000</v>
      </c>
      <c r="L2" s="56"/>
      <c r="M2" s="56">
        <v>1000</v>
      </c>
      <c r="N2" s="56">
        <v>2500</v>
      </c>
      <c r="O2" s="56">
        <v>5000</v>
      </c>
      <c r="P2" s="56">
        <v>10000</v>
      </c>
      <c r="Q2" s="56">
        <v>25000</v>
      </c>
      <c r="R2" s="56">
        <v>50000</v>
      </c>
      <c r="S2" s="56">
        <v>100000</v>
      </c>
      <c r="T2" s="55" t="s">
        <v>24</v>
      </c>
    </row>
    <row r="3" spans="1:20" x14ac:dyDescent="0.2">
      <c r="A3" s="58">
        <v>100</v>
      </c>
      <c r="B3" s="58">
        <v>0</v>
      </c>
      <c r="C3" s="59">
        <v>1</v>
      </c>
      <c r="D3" s="38"/>
      <c r="E3" s="38">
        <v>122804740</v>
      </c>
      <c r="F3" s="38">
        <v>328869527</v>
      </c>
      <c r="G3" s="38">
        <v>647994942</v>
      </c>
      <c r="H3" s="38">
        <v>1299587114</v>
      </c>
      <c r="I3" s="38">
        <v>2975555659</v>
      </c>
      <c r="J3" s="38">
        <v>6371661393</v>
      </c>
      <c r="K3" s="38">
        <v>11626669854</v>
      </c>
      <c r="L3" s="60"/>
      <c r="M3" s="60">
        <f>0</f>
        <v>0</v>
      </c>
      <c r="N3" s="60">
        <f>0</f>
        <v>0</v>
      </c>
      <c r="O3" s="60">
        <f>0</f>
        <v>0</v>
      </c>
      <c r="P3" s="60">
        <f>0</f>
        <v>0</v>
      </c>
      <c r="Q3" s="60">
        <f>0</f>
        <v>0</v>
      </c>
      <c r="R3" s="60">
        <f>0</f>
        <v>0</v>
      </c>
      <c r="S3" s="60">
        <f>0</f>
        <v>0</v>
      </c>
      <c r="T3" s="61">
        <v>1</v>
      </c>
    </row>
    <row r="4" spans="1:20" x14ac:dyDescent="0.2">
      <c r="A4" s="58">
        <v>100</v>
      </c>
      <c r="B4" s="58">
        <v>0</v>
      </c>
      <c r="C4" s="59">
        <v>2</v>
      </c>
      <c r="D4" s="38"/>
      <c r="E4" s="38">
        <v>132479407</v>
      </c>
      <c r="F4" s="38">
        <v>364998097</v>
      </c>
      <c r="G4" s="38">
        <v>720181045</v>
      </c>
      <c r="H4" s="38">
        <v>1406870658</v>
      </c>
      <c r="I4" s="38">
        <v>2902272468</v>
      </c>
      <c r="J4" s="38">
        <v>6312081451</v>
      </c>
      <c r="K4" s="38">
        <v>11812109858</v>
      </c>
      <c r="L4" s="60"/>
      <c r="M4" s="60">
        <v>0</v>
      </c>
      <c r="N4" s="60">
        <v>0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1">
        <v>1</v>
      </c>
    </row>
    <row r="5" spans="1:20" x14ac:dyDescent="0.2">
      <c r="A5" s="58">
        <v>100</v>
      </c>
      <c r="B5" s="58">
        <v>0</v>
      </c>
      <c r="C5" s="59">
        <v>3</v>
      </c>
      <c r="D5" s="38"/>
      <c r="E5" s="38">
        <v>117380174</v>
      </c>
      <c r="F5" s="38">
        <v>359758857</v>
      </c>
      <c r="G5" s="38">
        <v>697793839</v>
      </c>
      <c r="H5" s="38">
        <v>1418544224</v>
      </c>
      <c r="I5" s="38">
        <v>2928419542</v>
      </c>
      <c r="J5" s="38">
        <v>6545683306</v>
      </c>
      <c r="K5" s="38">
        <v>11926351070</v>
      </c>
      <c r="L5" s="60"/>
      <c r="M5" s="60">
        <v>0</v>
      </c>
      <c r="N5" s="60">
        <v>0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1">
        <v>1</v>
      </c>
    </row>
    <row r="6" spans="1:20" x14ac:dyDescent="0.2">
      <c r="A6" s="58">
        <v>80</v>
      </c>
      <c r="B6" s="58">
        <f>100-A6</f>
        <v>20</v>
      </c>
      <c r="C6" s="59">
        <v>1</v>
      </c>
      <c r="D6" s="38"/>
      <c r="E6" s="38">
        <v>98912966</v>
      </c>
      <c r="F6" s="38">
        <v>267158519</v>
      </c>
      <c r="G6" s="38">
        <v>525479356</v>
      </c>
      <c r="H6" s="38">
        <v>1173482413</v>
      </c>
      <c r="I6" s="38">
        <v>2508108260</v>
      </c>
      <c r="J6" s="38">
        <v>5625749099</v>
      </c>
      <c r="K6" s="38">
        <v>9784212311</v>
      </c>
      <c r="L6" s="38"/>
      <c r="M6" s="38">
        <v>44100664</v>
      </c>
      <c r="N6" s="38">
        <v>79174094</v>
      </c>
      <c r="O6" s="38">
        <v>183826166</v>
      </c>
      <c r="P6" s="38">
        <v>347871069</v>
      </c>
      <c r="Q6" s="38">
        <v>808480843</v>
      </c>
      <c r="R6" s="38">
        <v>1714256370</v>
      </c>
      <c r="S6" s="38">
        <v>3576204186</v>
      </c>
      <c r="T6" s="62">
        <v>2</v>
      </c>
    </row>
    <row r="7" spans="1:20" x14ac:dyDescent="0.2">
      <c r="A7" s="58">
        <v>80</v>
      </c>
      <c r="B7" s="58">
        <f t="shared" ref="B7:B20" si="0">100-A7</f>
        <v>20</v>
      </c>
      <c r="C7" s="59">
        <v>2</v>
      </c>
      <c r="D7" s="38"/>
      <c r="E7" s="38">
        <v>107197428</v>
      </c>
      <c r="F7" s="38">
        <v>504251940</v>
      </c>
      <c r="G7" s="38">
        <v>618131805</v>
      </c>
      <c r="H7" s="38">
        <v>1226656950</v>
      </c>
      <c r="I7" s="38">
        <v>2585183496</v>
      </c>
      <c r="J7" s="38">
        <v>5647764881</v>
      </c>
      <c r="K7" s="38">
        <v>9678046003</v>
      </c>
      <c r="L7" s="38"/>
      <c r="M7" s="38">
        <v>41229389</v>
      </c>
      <c r="N7" s="38">
        <v>156846413</v>
      </c>
      <c r="O7" s="38">
        <v>198240378</v>
      </c>
      <c r="P7" s="38">
        <v>351623050</v>
      </c>
      <c r="Q7" s="38">
        <v>853958209</v>
      </c>
      <c r="R7" s="38">
        <v>1716196946</v>
      </c>
      <c r="S7" s="38">
        <v>3689182494</v>
      </c>
      <c r="T7" s="62">
        <v>2</v>
      </c>
    </row>
    <row r="8" spans="1:20" x14ac:dyDescent="0.2">
      <c r="A8" s="58">
        <v>80</v>
      </c>
      <c r="B8" s="58">
        <f t="shared" si="0"/>
        <v>20</v>
      </c>
      <c r="C8" s="59">
        <v>3</v>
      </c>
      <c r="D8" s="38"/>
      <c r="E8" s="38">
        <v>120377623</v>
      </c>
      <c r="F8" s="38">
        <v>324449081</v>
      </c>
      <c r="G8" s="38">
        <v>639476522</v>
      </c>
      <c r="H8" s="38">
        <v>1261674955</v>
      </c>
      <c r="I8" s="38">
        <v>2602809465</v>
      </c>
      <c r="J8" s="38">
        <v>5576963054</v>
      </c>
      <c r="K8" s="38">
        <v>10167922515</v>
      </c>
      <c r="L8" s="38"/>
      <c r="M8" s="38">
        <v>48850757</v>
      </c>
      <c r="N8" s="38">
        <v>86017840</v>
      </c>
      <c r="O8" s="38">
        <v>188977318</v>
      </c>
      <c r="P8" s="38">
        <v>378691219</v>
      </c>
      <c r="Q8" s="38">
        <v>946425005</v>
      </c>
      <c r="R8" s="38">
        <v>1828285697</v>
      </c>
      <c r="S8" s="38">
        <v>3757798560</v>
      </c>
      <c r="T8" s="62">
        <v>2</v>
      </c>
    </row>
    <row r="9" spans="1:20" x14ac:dyDescent="0.2">
      <c r="A9" s="58">
        <v>60</v>
      </c>
      <c r="B9" s="58">
        <f t="shared" si="0"/>
        <v>40</v>
      </c>
      <c r="C9" s="59">
        <v>1</v>
      </c>
      <c r="D9" s="38"/>
      <c r="E9" s="38">
        <v>89506323</v>
      </c>
      <c r="F9" s="38">
        <v>230861857</v>
      </c>
      <c r="G9" s="38">
        <v>413681789</v>
      </c>
      <c r="H9" s="38">
        <v>882299154</v>
      </c>
      <c r="I9" s="38">
        <v>1796627270</v>
      </c>
      <c r="J9" s="38">
        <v>4067276620</v>
      </c>
      <c r="K9" s="38">
        <v>7384192330</v>
      </c>
      <c r="L9" s="38"/>
      <c r="M9" s="38">
        <v>94092473</v>
      </c>
      <c r="N9" s="38">
        <v>206929148</v>
      </c>
      <c r="O9" s="38">
        <v>426158910</v>
      </c>
      <c r="P9" s="38">
        <v>746955334</v>
      </c>
      <c r="Q9" s="38">
        <v>1868658288</v>
      </c>
      <c r="R9" s="38">
        <v>3695628821</v>
      </c>
      <c r="S9" s="38">
        <v>7084880997</v>
      </c>
      <c r="T9" s="62">
        <v>3</v>
      </c>
    </row>
    <row r="10" spans="1:20" x14ac:dyDescent="0.2">
      <c r="A10" s="58">
        <v>60</v>
      </c>
      <c r="B10" s="58">
        <f t="shared" si="0"/>
        <v>40</v>
      </c>
      <c r="C10" s="59">
        <v>2</v>
      </c>
      <c r="D10" s="38"/>
      <c r="E10" s="38">
        <v>55610093</v>
      </c>
      <c r="F10" s="38">
        <v>226216534</v>
      </c>
      <c r="G10" s="38">
        <v>453895894</v>
      </c>
      <c r="H10" s="38">
        <v>909395128</v>
      </c>
      <c r="I10" s="38">
        <v>1860981915</v>
      </c>
      <c r="J10" s="38">
        <v>4164673995</v>
      </c>
      <c r="K10" s="38">
        <v>7449781141</v>
      </c>
      <c r="L10" s="38"/>
      <c r="M10" s="38">
        <v>92099621</v>
      </c>
      <c r="N10" s="38">
        <v>220716019</v>
      </c>
      <c r="O10" s="38">
        <v>454232690</v>
      </c>
      <c r="P10" s="38">
        <v>779139036</v>
      </c>
      <c r="Q10" s="38">
        <v>1854588082</v>
      </c>
      <c r="R10" s="38">
        <v>3829350191</v>
      </c>
      <c r="S10" s="38">
        <v>7222635983</v>
      </c>
      <c r="T10" s="62">
        <v>3</v>
      </c>
    </row>
    <row r="11" spans="1:20" x14ac:dyDescent="0.2">
      <c r="A11" s="58">
        <v>60</v>
      </c>
      <c r="B11" s="58">
        <f t="shared" si="0"/>
        <v>40</v>
      </c>
      <c r="C11" s="59">
        <v>3</v>
      </c>
      <c r="D11" s="38"/>
      <c r="E11" s="38">
        <v>97135013</v>
      </c>
      <c r="F11" s="38">
        <v>219445386</v>
      </c>
      <c r="G11" s="38">
        <v>407692300</v>
      </c>
      <c r="H11" s="38">
        <v>871999171</v>
      </c>
      <c r="I11" s="38">
        <v>1940911640</v>
      </c>
      <c r="J11" s="38">
        <v>4067141480</v>
      </c>
      <c r="K11" s="38">
        <v>7336684101</v>
      </c>
      <c r="L11" s="38"/>
      <c r="M11" s="38">
        <v>89718427</v>
      </c>
      <c r="N11" s="38">
        <v>183648763</v>
      </c>
      <c r="O11" s="38">
        <v>431426364</v>
      </c>
      <c r="P11" s="38">
        <v>795993737</v>
      </c>
      <c r="Q11" s="38">
        <v>1930389297</v>
      </c>
      <c r="R11" s="38">
        <v>3781941354</v>
      </c>
      <c r="S11" s="38">
        <v>7232729621</v>
      </c>
      <c r="T11" s="62">
        <v>3</v>
      </c>
    </row>
    <row r="12" spans="1:20" x14ac:dyDescent="0.2">
      <c r="A12" s="58">
        <v>40</v>
      </c>
      <c r="B12" s="58">
        <f t="shared" si="0"/>
        <v>60</v>
      </c>
      <c r="C12" s="59">
        <v>1</v>
      </c>
      <c r="D12" s="38"/>
      <c r="E12" s="38">
        <v>35630172</v>
      </c>
      <c r="F12" s="38">
        <v>162119931</v>
      </c>
      <c r="G12" s="38">
        <v>301680739</v>
      </c>
      <c r="H12" s="38">
        <v>726440422</v>
      </c>
      <c r="I12" s="38">
        <v>1265746116</v>
      </c>
      <c r="J12" s="38">
        <v>2635695110</v>
      </c>
      <c r="K12" s="38">
        <v>4100961652</v>
      </c>
      <c r="L12" s="38"/>
      <c r="M12" s="38">
        <v>117271470</v>
      </c>
      <c r="N12" s="38">
        <v>253399771</v>
      </c>
      <c r="O12" s="38">
        <v>549281589</v>
      </c>
      <c r="P12" s="38">
        <v>1186099385</v>
      </c>
      <c r="Q12" s="38">
        <v>2605659805</v>
      </c>
      <c r="R12" s="38">
        <v>5056583717</v>
      </c>
      <c r="S12" s="38">
        <v>9679380399</v>
      </c>
      <c r="T12" s="62">
        <v>4</v>
      </c>
    </row>
    <row r="13" spans="1:20" x14ac:dyDescent="0.2">
      <c r="A13" s="58">
        <v>40</v>
      </c>
      <c r="B13" s="58">
        <f t="shared" si="0"/>
        <v>60</v>
      </c>
      <c r="C13" s="59">
        <v>2</v>
      </c>
      <c r="D13" s="38"/>
      <c r="E13" s="38">
        <v>55081718</v>
      </c>
      <c r="F13" s="38">
        <v>192723826</v>
      </c>
      <c r="G13" s="38">
        <v>324025722</v>
      </c>
      <c r="H13" s="38">
        <v>623636806</v>
      </c>
      <c r="I13" s="38">
        <v>1245744589</v>
      </c>
      <c r="J13" s="38">
        <v>2580220154</v>
      </c>
      <c r="K13" s="38">
        <v>4422831295</v>
      </c>
      <c r="L13" s="38"/>
      <c r="M13" s="38">
        <v>101732066</v>
      </c>
      <c r="N13" s="38">
        <v>305093582</v>
      </c>
      <c r="O13" s="38">
        <v>599361101</v>
      </c>
      <c r="P13" s="38">
        <v>1075933531</v>
      </c>
      <c r="Q13" s="38">
        <v>2695012339</v>
      </c>
      <c r="R13" s="38">
        <v>5150695591</v>
      </c>
      <c r="S13" s="38">
        <v>10572623687</v>
      </c>
      <c r="T13" s="62">
        <v>4</v>
      </c>
    </row>
    <row r="14" spans="1:20" x14ac:dyDescent="0.2">
      <c r="A14" s="58">
        <v>40</v>
      </c>
      <c r="B14" s="58">
        <f t="shared" si="0"/>
        <v>60</v>
      </c>
      <c r="C14" s="59">
        <v>3</v>
      </c>
      <c r="D14" s="38"/>
      <c r="E14" s="38">
        <v>51881881</v>
      </c>
      <c r="F14" s="38">
        <v>149193974</v>
      </c>
      <c r="G14" s="38">
        <v>280864528</v>
      </c>
      <c r="H14" s="38">
        <v>564040508</v>
      </c>
      <c r="I14" s="38">
        <v>1251906011</v>
      </c>
      <c r="J14" s="38">
        <v>2650118230</v>
      </c>
      <c r="K14" s="38">
        <v>4490556836</v>
      </c>
      <c r="L14" s="38"/>
      <c r="M14" s="38">
        <v>136533443</v>
      </c>
      <c r="N14" s="38">
        <v>287070792</v>
      </c>
      <c r="O14" s="38">
        <v>628981275</v>
      </c>
      <c r="P14" s="38">
        <v>1125075745</v>
      </c>
      <c r="Q14" s="38">
        <v>2732246944</v>
      </c>
      <c r="R14" s="38">
        <v>5491937881</v>
      </c>
      <c r="S14" s="38">
        <v>10918053249</v>
      </c>
      <c r="T14" s="62">
        <v>4</v>
      </c>
    </row>
    <row r="15" spans="1:20" x14ac:dyDescent="0.2">
      <c r="A15" s="58">
        <v>20</v>
      </c>
      <c r="B15" s="58">
        <f t="shared" si="0"/>
        <v>80</v>
      </c>
      <c r="C15" s="59">
        <v>1</v>
      </c>
      <c r="D15" s="38"/>
      <c r="E15" s="38">
        <v>33973824</v>
      </c>
      <c r="F15" s="38">
        <v>84917350</v>
      </c>
      <c r="G15" s="38">
        <v>151719720</v>
      </c>
      <c r="H15" s="38">
        <v>319565839</v>
      </c>
      <c r="I15" s="38">
        <v>595862784</v>
      </c>
      <c r="J15" s="38">
        <v>1293839303</v>
      </c>
      <c r="K15" s="38">
        <v>1914283779</v>
      </c>
      <c r="L15" s="38"/>
      <c r="M15" s="38">
        <v>178502579</v>
      </c>
      <c r="N15" s="38">
        <v>398680795</v>
      </c>
      <c r="O15" s="38">
        <v>815129718</v>
      </c>
      <c r="P15" s="38">
        <v>1546701262</v>
      </c>
      <c r="Q15" s="38">
        <v>3667726431</v>
      </c>
      <c r="R15" s="38">
        <v>6776033237</v>
      </c>
      <c r="S15" s="38">
        <v>11186861855</v>
      </c>
      <c r="T15" s="62">
        <v>5</v>
      </c>
    </row>
    <row r="16" spans="1:20" x14ac:dyDescent="0.2">
      <c r="A16" s="58">
        <v>20</v>
      </c>
      <c r="B16" s="58">
        <f t="shared" si="0"/>
        <v>80</v>
      </c>
      <c r="C16" s="59">
        <v>2</v>
      </c>
      <c r="D16" s="38"/>
      <c r="E16" s="38">
        <v>53412150</v>
      </c>
      <c r="F16" s="38">
        <v>87167341</v>
      </c>
      <c r="G16" s="38">
        <v>157643292</v>
      </c>
      <c r="H16" s="38">
        <v>286203108</v>
      </c>
      <c r="I16" s="38">
        <v>641465912</v>
      </c>
      <c r="J16" s="38">
        <v>1324453662</v>
      </c>
      <c r="K16" s="38">
        <v>2390737431</v>
      </c>
      <c r="L16" s="38"/>
      <c r="M16" s="38">
        <v>292561007</v>
      </c>
      <c r="N16" s="38">
        <v>403939561</v>
      </c>
      <c r="O16" s="38">
        <v>833987367</v>
      </c>
      <c r="P16" s="38">
        <v>1494723898</v>
      </c>
      <c r="Q16" s="38">
        <v>3719990475</v>
      </c>
      <c r="R16" s="38">
        <v>7192482640</v>
      </c>
      <c r="S16" s="38">
        <v>13548330250</v>
      </c>
      <c r="T16" s="62">
        <v>5</v>
      </c>
    </row>
    <row r="17" spans="1:20" x14ac:dyDescent="0.2">
      <c r="A17" s="58">
        <v>20</v>
      </c>
      <c r="B17" s="58">
        <f t="shared" si="0"/>
        <v>80</v>
      </c>
      <c r="C17" s="59">
        <v>3</v>
      </c>
      <c r="D17" s="38"/>
      <c r="E17" s="38">
        <v>28670414</v>
      </c>
      <c r="F17" s="38">
        <v>72947441</v>
      </c>
      <c r="G17" s="38">
        <v>162613248</v>
      </c>
      <c r="H17" s="38">
        <v>310559976</v>
      </c>
      <c r="I17" s="38">
        <v>649957245</v>
      </c>
      <c r="J17" s="38">
        <v>1299350534</v>
      </c>
      <c r="K17" s="38">
        <v>2349270329</v>
      </c>
      <c r="L17" s="38"/>
      <c r="M17" s="38">
        <v>156293905</v>
      </c>
      <c r="N17" s="38">
        <v>364523067</v>
      </c>
      <c r="O17" s="38">
        <v>812289170</v>
      </c>
      <c r="P17" s="38">
        <v>1427791399</v>
      </c>
      <c r="Q17" s="38">
        <v>3693316329</v>
      </c>
      <c r="R17" s="38">
        <v>7070710357</v>
      </c>
      <c r="S17" s="38">
        <v>13949842887</v>
      </c>
      <c r="T17" s="62">
        <v>5</v>
      </c>
    </row>
    <row r="18" spans="1:20" x14ac:dyDescent="0.2">
      <c r="A18" s="58">
        <v>0</v>
      </c>
      <c r="B18" s="58">
        <f t="shared" si="0"/>
        <v>100</v>
      </c>
      <c r="C18" s="59">
        <v>1</v>
      </c>
      <c r="D18" s="60"/>
      <c r="E18" s="60">
        <f>0</f>
        <v>0</v>
      </c>
      <c r="F18" s="60">
        <f>0</f>
        <v>0</v>
      </c>
      <c r="G18" s="60">
        <f>0</f>
        <v>0</v>
      </c>
      <c r="H18" s="60">
        <f>0</f>
        <v>0</v>
      </c>
      <c r="I18" s="60">
        <f>0</f>
        <v>0</v>
      </c>
      <c r="J18" s="60">
        <f>0</f>
        <v>0</v>
      </c>
      <c r="K18" s="60">
        <f>0</f>
        <v>0</v>
      </c>
      <c r="L18" s="38"/>
      <c r="M18" s="38">
        <v>175655116</v>
      </c>
      <c r="N18" s="38">
        <v>463234750</v>
      </c>
      <c r="O18" s="38">
        <v>981894251</v>
      </c>
      <c r="P18" s="38">
        <v>1757707641</v>
      </c>
      <c r="Q18" s="38">
        <v>4258229050</v>
      </c>
      <c r="R18" s="38">
        <v>8156930129</v>
      </c>
      <c r="S18" s="38">
        <v>15433320700</v>
      </c>
      <c r="T18" s="62">
        <v>6</v>
      </c>
    </row>
    <row r="19" spans="1:20" x14ac:dyDescent="0.2">
      <c r="A19" s="58">
        <v>0</v>
      </c>
      <c r="B19" s="58">
        <f t="shared" si="0"/>
        <v>100</v>
      </c>
      <c r="C19" s="59">
        <v>2</v>
      </c>
      <c r="D19" s="60"/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38"/>
      <c r="M19" s="38">
        <v>196237869</v>
      </c>
      <c r="N19" s="38">
        <v>459003809</v>
      </c>
      <c r="O19" s="38">
        <v>1000932875</v>
      </c>
      <c r="P19" s="38">
        <v>1819674453</v>
      </c>
      <c r="Q19" s="38">
        <v>4364956629</v>
      </c>
      <c r="R19" s="38">
        <v>8221021872</v>
      </c>
      <c r="S19" s="38">
        <v>15723034150</v>
      </c>
      <c r="T19" s="62">
        <v>6</v>
      </c>
    </row>
    <row r="20" spans="1:20" x14ac:dyDescent="0.2">
      <c r="A20" s="58">
        <v>0</v>
      </c>
      <c r="B20" s="58">
        <f t="shared" si="0"/>
        <v>100</v>
      </c>
      <c r="C20" s="59">
        <v>3</v>
      </c>
      <c r="D20" s="60"/>
      <c r="E20" s="60">
        <v>0</v>
      </c>
      <c r="F20" s="60">
        <v>0</v>
      </c>
      <c r="G20" s="60">
        <v>0</v>
      </c>
      <c r="H20" s="60">
        <v>0</v>
      </c>
      <c r="I20" s="60">
        <v>0</v>
      </c>
      <c r="J20" s="60">
        <v>0</v>
      </c>
      <c r="K20" s="60">
        <v>0</v>
      </c>
      <c r="L20" s="38"/>
      <c r="M20" s="38">
        <v>191002056</v>
      </c>
      <c r="N20" s="38">
        <v>470886192</v>
      </c>
      <c r="O20" s="38">
        <v>1032402093</v>
      </c>
      <c r="P20" s="38">
        <v>1754210304</v>
      </c>
      <c r="Q20" s="38">
        <v>4372125403</v>
      </c>
      <c r="R20" s="38">
        <v>8297979188</v>
      </c>
      <c r="S20" s="38">
        <v>15580927788</v>
      </c>
      <c r="T20" s="62">
        <v>6</v>
      </c>
    </row>
  </sheetData>
  <mergeCells count="2">
    <mergeCell ref="D1:K1"/>
    <mergeCell ref="L1:S1"/>
  </mergeCells>
  <conditionalFormatting sqref="T6:T2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O10"/>
  <sheetViews>
    <sheetView topLeftCell="D1" workbookViewId="0">
      <selection activeCell="R11" sqref="R11"/>
    </sheetView>
  </sheetViews>
  <sheetFormatPr baseColWidth="10" defaultColWidth="8.83203125" defaultRowHeight="15" x14ac:dyDescent="0.2"/>
  <cols>
    <col min="6" max="6" width="4.33203125" customWidth="1"/>
    <col min="7" max="7" width="14.5" customWidth="1"/>
    <col min="8" max="8" width="12" customWidth="1"/>
    <col min="9" max="9" width="11.5" customWidth="1"/>
    <col min="10" max="11" width="12.5" customWidth="1"/>
    <col min="12" max="12" width="13.33203125" customWidth="1"/>
    <col min="13" max="14" width="12.33203125" customWidth="1"/>
  </cols>
  <sheetData>
    <row r="1" spans="7:15" ht="16" thickBot="1" x14ac:dyDescent="0.25"/>
    <row r="2" spans="7:15" ht="16" thickBot="1" x14ac:dyDescent="0.25">
      <c r="H2" s="47" t="s">
        <v>18</v>
      </c>
      <c r="I2" s="48"/>
      <c r="J2" s="48"/>
      <c r="K2" s="48"/>
      <c r="L2" s="48"/>
      <c r="M2" s="48"/>
      <c r="N2" s="48"/>
      <c r="O2" s="49"/>
    </row>
    <row r="3" spans="7:15" ht="16" thickBot="1" x14ac:dyDescent="0.25">
      <c r="G3" t="s">
        <v>4</v>
      </c>
      <c r="H3" s="14" t="s">
        <v>1</v>
      </c>
      <c r="I3" s="15" t="s">
        <v>2</v>
      </c>
      <c r="J3" s="15" t="s">
        <v>15</v>
      </c>
      <c r="K3" s="16" t="s">
        <v>9</v>
      </c>
      <c r="L3" s="14" t="s">
        <v>3</v>
      </c>
      <c r="M3" s="15" t="s">
        <v>0</v>
      </c>
      <c r="N3" s="15" t="s">
        <v>14</v>
      </c>
      <c r="O3" s="16" t="s">
        <v>9</v>
      </c>
    </row>
    <row r="4" spans="7:15" x14ac:dyDescent="0.2">
      <c r="G4">
        <v>1000</v>
      </c>
      <c r="H4" s="6">
        <v>59600</v>
      </c>
      <c r="I4" s="6">
        <v>69900</v>
      </c>
      <c r="J4" s="6">
        <v>66300</v>
      </c>
      <c r="K4" s="10">
        <f t="shared" ref="K4:K10" si="0">AVERAGE(H4:J4)</f>
        <v>65266.666666666664</v>
      </c>
      <c r="L4" s="6">
        <v>71100</v>
      </c>
      <c r="M4" s="6">
        <v>75700</v>
      </c>
      <c r="N4" s="6">
        <v>76600</v>
      </c>
      <c r="O4" s="12">
        <f t="shared" ref="O4:O10" si="1">AVERAGE(L4:N4)</f>
        <v>74466.666666666672</v>
      </c>
    </row>
    <row r="5" spans="7:15" x14ac:dyDescent="0.2">
      <c r="G5">
        <v>2500</v>
      </c>
      <c r="H5" s="6">
        <v>146000</v>
      </c>
      <c r="I5" s="6">
        <v>161000</v>
      </c>
      <c r="J5" s="6">
        <v>162000</v>
      </c>
      <c r="K5" s="10">
        <f t="shared" si="0"/>
        <v>156333.33333333334</v>
      </c>
      <c r="L5" s="6">
        <v>189000</v>
      </c>
      <c r="M5" s="6">
        <v>185000</v>
      </c>
      <c r="N5" s="6">
        <v>187000</v>
      </c>
      <c r="O5" s="12">
        <f t="shared" si="1"/>
        <v>187000</v>
      </c>
    </row>
    <row r="6" spans="7:15" x14ac:dyDescent="0.2">
      <c r="G6">
        <v>5000</v>
      </c>
      <c r="H6" s="6">
        <v>269000</v>
      </c>
      <c r="I6" s="6">
        <v>318000</v>
      </c>
      <c r="J6" s="6">
        <v>285000</v>
      </c>
      <c r="K6" s="10">
        <f t="shared" si="0"/>
        <v>290666.66666666669</v>
      </c>
      <c r="L6" s="6">
        <v>387000</v>
      </c>
      <c r="M6" s="6">
        <v>381000</v>
      </c>
      <c r="N6" s="6">
        <v>383000</v>
      </c>
      <c r="O6" s="12">
        <f t="shared" si="1"/>
        <v>383666.66666666669</v>
      </c>
    </row>
    <row r="7" spans="7:15" x14ac:dyDescent="0.2">
      <c r="G7">
        <v>10000</v>
      </c>
      <c r="H7" s="6">
        <v>567000</v>
      </c>
      <c r="I7" s="6">
        <v>547000</v>
      </c>
      <c r="J7" s="6">
        <v>555000</v>
      </c>
      <c r="K7" s="10">
        <f t="shared" si="0"/>
        <v>556333.33333333337</v>
      </c>
      <c r="L7" s="6">
        <v>635000</v>
      </c>
      <c r="M7" s="6">
        <v>659000</v>
      </c>
      <c r="N7" s="6">
        <v>596000</v>
      </c>
      <c r="O7" s="12">
        <f t="shared" si="1"/>
        <v>630000</v>
      </c>
    </row>
    <row r="8" spans="7:15" x14ac:dyDescent="0.2">
      <c r="G8">
        <v>25000</v>
      </c>
      <c r="H8" s="6">
        <v>1050000</v>
      </c>
      <c r="I8" s="6">
        <v>1030000</v>
      </c>
      <c r="J8" s="6">
        <v>997000</v>
      </c>
      <c r="K8" s="10">
        <f t="shared" si="0"/>
        <v>1025666.6666666666</v>
      </c>
      <c r="L8" s="6">
        <v>1360000</v>
      </c>
      <c r="M8" s="6">
        <v>1390000</v>
      </c>
      <c r="N8" s="6">
        <v>1360000</v>
      </c>
      <c r="O8" s="12">
        <f t="shared" si="1"/>
        <v>1370000</v>
      </c>
    </row>
    <row r="9" spans="7:15" x14ac:dyDescent="0.2">
      <c r="G9">
        <v>50000</v>
      </c>
      <c r="H9" s="6">
        <v>1830000</v>
      </c>
      <c r="I9" s="6">
        <v>1840000</v>
      </c>
      <c r="J9" s="6">
        <v>1880000</v>
      </c>
      <c r="K9" s="10">
        <f t="shared" si="0"/>
        <v>1850000</v>
      </c>
      <c r="L9" s="6">
        <v>2190000</v>
      </c>
      <c r="M9" s="6">
        <v>2140000</v>
      </c>
      <c r="N9" s="6">
        <v>2170000</v>
      </c>
      <c r="O9" s="12">
        <f t="shared" si="1"/>
        <v>2166666.6666666665</v>
      </c>
    </row>
    <row r="10" spans="7:15" ht="16" thickBot="1" x14ac:dyDescent="0.25">
      <c r="G10">
        <v>100000</v>
      </c>
      <c r="H10" s="6">
        <v>2870000</v>
      </c>
      <c r="I10" s="6">
        <v>3010000</v>
      </c>
      <c r="J10" s="6">
        <v>2810000</v>
      </c>
      <c r="K10" s="11">
        <f t="shared" si="0"/>
        <v>2896666.6666666665</v>
      </c>
      <c r="L10" s="6">
        <v>3360000</v>
      </c>
      <c r="M10" s="6">
        <v>3300000</v>
      </c>
      <c r="N10" s="6">
        <v>3260000</v>
      </c>
      <c r="O10" s="13">
        <f t="shared" si="1"/>
        <v>3306666.6666666665</v>
      </c>
    </row>
  </sheetData>
  <mergeCells count="1">
    <mergeCell ref="H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topLeftCell="A2" zoomScale="80" zoomScaleNormal="80" workbookViewId="0">
      <selection activeCell="J2" sqref="J2:Z51"/>
    </sheetView>
  </sheetViews>
  <sheetFormatPr baseColWidth="10" defaultColWidth="8.83203125" defaultRowHeight="15" x14ac:dyDescent="0.2"/>
  <cols>
    <col min="1" max="1" width="30.5" customWidth="1"/>
    <col min="2" max="2" width="11.33203125" customWidth="1"/>
    <col min="3" max="7" width="10.6640625" bestFit="1" customWidth="1"/>
    <col min="8" max="8" width="11.6640625" bestFit="1" customWidth="1"/>
    <col min="10" max="10" width="31.83203125" customWidth="1"/>
    <col min="11" max="11" width="14.6640625" customWidth="1"/>
    <col min="12" max="12" width="14.33203125" customWidth="1"/>
    <col min="13" max="13" width="14.6640625" customWidth="1"/>
    <col min="14" max="14" width="15" customWidth="1"/>
    <col min="15" max="15" width="15.6640625" customWidth="1"/>
    <col min="16" max="16" width="15.5" customWidth="1"/>
    <col min="17" max="17" width="15.1640625" customWidth="1"/>
    <col min="19" max="19" width="33.33203125" customWidth="1"/>
    <col min="20" max="20" width="14.1640625" customWidth="1"/>
    <col min="21" max="21" width="14.5" customWidth="1"/>
    <col min="22" max="23" width="15.5" customWidth="1"/>
    <col min="24" max="24" width="15.83203125" customWidth="1"/>
    <col min="25" max="25" width="14" customWidth="1"/>
    <col min="26" max="26" width="14.83203125" customWidth="1"/>
  </cols>
  <sheetData>
    <row r="1" spans="1:26" ht="16" thickBot="1" x14ac:dyDescent="0.25"/>
    <row r="2" spans="1:26" ht="16" thickBot="1" x14ac:dyDescent="0.25">
      <c r="A2" s="46" t="s">
        <v>8</v>
      </c>
      <c r="B2" s="50"/>
      <c r="C2" s="50"/>
      <c r="D2" s="50"/>
      <c r="E2" s="50"/>
      <c r="F2" s="50"/>
      <c r="G2" s="50"/>
      <c r="H2" s="51"/>
      <c r="J2" s="27" t="s">
        <v>8</v>
      </c>
      <c r="K2" s="52"/>
      <c r="L2" s="52"/>
      <c r="M2" s="52"/>
      <c r="N2" s="52"/>
      <c r="O2" s="52"/>
      <c r="P2" s="52"/>
      <c r="Q2" s="52"/>
      <c r="S2" s="32" t="s">
        <v>8</v>
      </c>
      <c r="T2" s="52"/>
      <c r="U2" s="52"/>
      <c r="V2" s="52"/>
      <c r="W2" s="52"/>
      <c r="X2" s="52"/>
      <c r="Y2" s="52"/>
      <c r="Z2" s="52"/>
    </row>
    <row r="3" spans="1:26" ht="16" thickBot="1" x14ac:dyDescent="0.25">
      <c r="A3" s="17" t="s">
        <v>13</v>
      </c>
      <c r="B3" s="9">
        <v>1000</v>
      </c>
      <c r="C3" s="9">
        <v>2500</v>
      </c>
      <c r="D3" s="9">
        <v>5000</v>
      </c>
      <c r="E3" s="9">
        <v>10000</v>
      </c>
      <c r="F3" s="9">
        <v>25000</v>
      </c>
      <c r="G3" s="9">
        <v>50000</v>
      </c>
      <c r="H3" s="9">
        <v>100000</v>
      </c>
      <c r="J3" s="27" t="s">
        <v>13</v>
      </c>
      <c r="K3" s="5">
        <v>1000</v>
      </c>
      <c r="L3" s="5">
        <v>2500</v>
      </c>
      <c r="M3" s="5">
        <v>5000</v>
      </c>
      <c r="N3" s="5">
        <v>10000</v>
      </c>
      <c r="O3" s="5">
        <v>25000</v>
      </c>
      <c r="P3" s="5">
        <v>50000</v>
      </c>
      <c r="Q3" s="5">
        <v>100000</v>
      </c>
      <c r="S3" s="32" t="s">
        <v>13</v>
      </c>
      <c r="T3" s="5">
        <v>1000</v>
      </c>
      <c r="U3" s="5">
        <v>2500</v>
      </c>
      <c r="V3" s="5">
        <v>5000</v>
      </c>
      <c r="W3" s="5">
        <v>10000</v>
      </c>
      <c r="X3" s="5">
        <v>25000</v>
      </c>
      <c r="Y3" s="5">
        <v>50000</v>
      </c>
      <c r="Z3" s="5">
        <v>100000</v>
      </c>
    </row>
    <row r="4" spans="1:26" x14ac:dyDescent="0.2">
      <c r="A4" s="4" t="s">
        <v>5</v>
      </c>
      <c r="B4" s="6">
        <v>59600</v>
      </c>
      <c r="C4" s="6">
        <v>146000</v>
      </c>
      <c r="D4" s="6">
        <v>269000</v>
      </c>
      <c r="E4" s="6">
        <v>567000</v>
      </c>
      <c r="F4" s="6">
        <v>1050000</v>
      </c>
      <c r="G4" s="6">
        <v>1830000</v>
      </c>
      <c r="H4" s="6">
        <v>2870000</v>
      </c>
      <c r="J4" s="4" t="s">
        <v>5</v>
      </c>
      <c r="K4" s="38">
        <v>122804740</v>
      </c>
      <c r="L4" s="38">
        <v>328869527</v>
      </c>
      <c r="M4" s="38">
        <v>647994942</v>
      </c>
      <c r="N4" s="38">
        <v>1299587114</v>
      </c>
      <c r="O4" s="38">
        <v>2975555659</v>
      </c>
      <c r="P4" s="38">
        <v>6371661393</v>
      </c>
      <c r="Q4" s="38">
        <v>11626669854</v>
      </c>
      <c r="S4" s="4" t="s">
        <v>5</v>
      </c>
      <c r="T4" s="6"/>
      <c r="U4" s="6"/>
      <c r="V4" s="6"/>
      <c r="W4" s="6"/>
      <c r="X4" s="6"/>
      <c r="Y4" s="6"/>
      <c r="Z4" s="6"/>
    </row>
    <row r="5" spans="1:26" x14ac:dyDescent="0.2">
      <c r="A5" s="1" t="s">
        <v>6</v>
      </c>
      <c r="B5" s="6">
        <v>69900</v>
      </c>
      <c r="C5" s="6">
        <v>161000</v>
      </c>
      <c r="D5" s="6">
        <v>318000</v>
      </c>
      <c r="E5" s="6">
        <v>547000</v>
      </c>
      <c r="F5" s="6">
        <v>1030000</v>
      </c>
      <c r="G5" s="6">
        <v>1840000</v>
      </c>
      <c r="H5" s="6">
        <v>3010000</v>
      </c>
      <c r="J5" s="1" t="s">
        <v>6</v>
      </c>
      <c r="K5" s="38">
        <v>132479407</v>
      </c>
      <c r="L5" s="38">
        <v>364998097</v>
      </c>
      <c r="M5" s="38">
        <v>720181045</v>
      </c>
      <c r="N5" s="38">
        <v>1406870658</v>
      </c>
      <c r="O5" s="38">
        <v>2902272468</v>
      </c>
      <c r="P5" s="38">
        <v>6312081451</v>
      </c>
      <c r="Q5" s="38">
        <v>11812109858</v>
      </c>
      <c r="S5" s="1" t="s">
        <v>6</v>
      </c>
      <c r="T5" s="6"/>
      <c r="U5" s="6"/>
      <c r="V5" s="6"/>
      <c r="W5" s="6"/>
      <c r="X5" s="6"/>
      <c r="Y5" s="6"/>
      <c r="Z5" s="6"/>
    </row>
    <row r="6" spans="1:26" x14ac:dyDescent="0.2">
      <c r="A6" s="1" t="s">
        <v>7</v>
      </c>
      <c r="B6" s="6">
        <v>66300</v>
      </c>
      <c r="C6" s="6">
        <v>162000</v>
      </c>
      <c r="D6" s="6">
        <v>285000</v>
      </c>
      <c r="E6" s="6">
        <v>555000</v>
      </c>
      <c r="F6" s="6">
        <v>997000</v>
      </c>
      <c r="G6" s="6">
        <v>1880000</v>
      </c>
      <c r="H6" s="6">
        <v>2810000</v>
      </c>
      <c r="J6" s="1" t="s">
        <v>7</v>
      </c>
      <c r="K6" s="38">
        <v>117380174</v>
      </c>
      <c r="L6" s="38">
        <v>359758857</v>
      </c>
      <c r="M6" s="38">
        <v>697793839</v>
      </c>
      <c r="N6" s="38">
        <v>1418544224</v>
      </c>
      <c r="O6" s="38">
        <v>2928419542</v>
      </c>
      <c r="P6" s="38">
        <v>6545683306</v>
      </c>
      <c r="Q6" s="38">
        <v>11926351070</v>
      </c>
      <c r="S6" s="1" t="s">
        <v>7</v>
      </c>
      <c r="T6" s="6"/>
      <c r="U6" s="6"/>
      <c r="V6" s="6"/>
      <c r="W6" s="6"/>
      <c r="X6" s="6"/>
      <c r="Y6" s="6"/>
      <c r="Z6" s="6"/>
    </row>
    <row r="7" spans="1:26" x14ac:dyDescent="0.2">
      <c r="A7" s="2" t="s">
        <v>9</v>
      </c>
      <c r="B7" s="3">
        <f>AVERAGE(B4, B5, B6)</f>
        <v>65266.666666666664</v>
      </c>
      <c r="C7" s="3">
        <f t="shared" ref="C7:G7" si="0">AVERAGE(C4, C5, C6)</f>
        <v>156333.33333333334</v>
      </c>
      <c r="D7" s="3">
        <f>AVERAGE(D4, D5, D6)</f>
        <v>290666.66666666669</v>
      </c>
      <c r="E7" s="3">
        <f t="shared" si="0"/>
        <v>556333.33333333337</v>
      </c>
      <c r="F7" s="3">
        <f t="shared" si="0"/>
        <v>1025666.6666666666</v>
      </c>
      <c r="G7" s="3">
        <f t="shared" si="0"/>
        <v>1850000</v>
      </c>
      <c r="H7" s="3">
        <f>AVERAGE(H4, H5, H6)</f>
        <v>2896666.6666666665</v>
      </c>
      <c r="J7" s="2" t="s">
        <v>9</v>
      </c>
      <c r="K7" s="3">
        <f>AVERAGE(K4, K5, K6)</f>
        <v>124221440.33333333</v>
      </c>
      <c r="L7" s="3">
        <f t="shared" ref="L7:P7" si="1">AVERAGE(L4, L5, L6)</f>
        <v>351208827</v>
      </c>
      <c r="M7" s="3">
        <f>AVERAGE(M4, M5, M6)</f>
        <v>688656608.66666663</v>
      </c>
      <c r="N7" s="3">
        <f t="shared" si="1"/>
        <v>1375000665.3333333</v>
      </c>
      <c r="O7" s="3">
        <f t="shared" si="1"/>
        <v>2935415889.6666665</v>
      </c>
      <c r="P7" s="3">
        <f t="shared" si="1"/>
        <v>6409808716.666667</v>
      </c>
      <c r="Q7" s="3">
        <f>AVERAGE(Q4, Q5, Q6)</f>
        <v>11788376927.333334</v>
      </c>
      <c r="S7" s="2" t="s">
        <v>9</v>
      </c>
      <c r="T7" s="3"/>
      <c r="U7" s="3"/>
      <c r="V7" s="3"/>
      <c r="W7" s="3"/>
      <c r="X7" s="3"/>
      <c r="Y7" s="3"/>
      <c r="Z7" s="3"/>
    </row>
    <row r="11" spans="1:26" ht="16" thickBot="1" x14ac:dyDescent="0.25"/>
    <row r="12" spans="1:26" ht="16" thickBot="1" x14ac:dyDescent="0.25">
      <c r="A12" s="18" t="s">
        <v>10</v>
      </c>
      <c r="B12" s="50"/>
      <c r="C12" s="50"/>
      <c r="D12" s="50"/>
      <c r="E12" s="50"/>
      <c r="F12" s="50"/>
      <c r="G12" s="50"/>
      <c r="H12" s="51"/>
      <c r="J12" s="28" t="s">
        <v>10</v>
      </c>
      <c r="K12" s="52"/>
      <c r="L12" s="52"/>
      <c r="M12" s="52"/>
      <c r="N12" s="52"/>
      <c r="O12" s="52"/>
      <c r="P12" s="52"/>
      <c r="Q12" s="52"/>
      <c r="S12" s="33" t="s">
        <v>10</v>
      </c>
      <c r="T12" s="52"/>
      <c r="U12" s="52"/>
      <c r="V12" s="52"/>
      <c r="W12" s="52"/>
      <c r="X12" s="52"/>
      <c r="Y12" s="52"/>
      <c r="Z12" s="52"/>
    </row>
    <row r="13" spans="1:26" ht="16" thickBot="1" x14ac:dyDescent="0.25">
      <c r="A13" s="19" t="s">
        <v>13</v>
      </c>
      <c r="B13" s="5">
        <v>1000</v>
      </c>
      <c r="C13" s="5">
        <v>2500</v>
      </c>
      <c r="D13" s="5">
        <v>5000</v>
      </c>
      <c r="E13" s="5">
        <v>10000</v>
      </c>
      <c r="F13" s="5">
        <v>25000</v>
      </c>
      <c r="G13" s="5">
        <v>50000</v>
      </c>
      <c r="H13" s="45">
        <v>100000</v>
      </c>
      <c r="J13" s="43" t="s">
        <v>13</v>
      </c>
      <c r="K13" s="5">
        <v>1000</v>
      </c>
      <c r="L13" s="5">
        <v>2500</v>
      </c>
      <c r="M13" s="5">
        <v>5000</v>
      </c>
      <c r="N13" s="5">
        <v>10000</v>
      </c>
      <c r="O13" s="5">
        <v>25000</v>
      </c>
      <c r="P13" s="5">
        <v>50000</v>
      </c>
      <c r="Q13" s="42">
        <v>100000</v>
      </c>
      <c r="S13" s="33" t="s">
        <v>13</v>
      </c>
      <c r="T13" s="5">
        <v>1000</v>
      </c>
      <c r="U13" s="5">
        <v>2500</v>
      </c>
      <c r="V13" s="5">
        <v>5000</v>
      </c>
      <c r="W13" s="5">
        <v>10000</v>
      </c>
      <c r="X13" s="5">
        <v>25000</v>
      </c>
      <c r="Y13" s="5">
        <v>50000</v>
      </c>
      <c r="Z13" s="5">
        <v>100000</v>
      </c>
    </row>
    <row r="14" spans="1:26" x14ac:dyDescent="0.2">
      <c r="A14" s="4" t="s">
        <v>5</v>
      </c>
      <c r="B14" s="6">
        <v>55000</v>
      </c>
      <c r="C14" s="6">
        <v>126000</v>
      </c>
      <c r="D14" s="6">
        <v>231000</v>
      </c>
      <c r="E14" s="6">
        <v>519000</v>
      </c>
      <c r="F14" s="6">
        <v>1040000</v>
      </c>
      <c r="G14" s="6">
        <v>1970000</v>
      </c>
      <c r="H14" s="6">
        <v>3280000</v>
      </c>
      <c r="I14" s="44"/>
      <c r="J14" s="39" t="s">
        <v>5</v>
      </c>
      <c r="K14" s="38">
        <v>98912966</v>
      </c>
      <c r="L14" s="38">
        <v>267158519</v>
      </c>
      <c r="M14" s="38">
        <v>525479356</v>
      </c>
      <c r="N14" s="38">
        <v>1173482413</v>
      </c>
      <c r="O14" s="38">
        <v>2508108260</v>
      </c>
      <c r="P14" s="38">
        <v>5625749099</v>
      </c>
      <c r="Q14" s="38">
        <v>9784212311</v>
      </c>
      <c r="R14" s="41"/>
      <c r="S14" s="39" t="s">
        <v>5</v>
      </c>
      <c r="T14" s="38">
        <v>44100664</v>
      </c>
      <c r="U14" s="38">
        <v>79174094</v>
      </c>
      <c r="V14" s="38">
        <v>183826166</v>
      </c>
      <c r="W14" s="38">
        <v>347871069</v>
      </c>
      <c r="X14" s="38">
        <v>808480843</v>
      </c>
      <c r="Y14" s="38">
        <v>1714256370</v>
      </c>
      <c r="Z14" s="38">
        <v>3576204186</v>
      </c>
    </row>
    <row r="15" spans="1:26" x14ac:dyDescent="0.2">
      <c r="A15" s="1" t="s">
        <v>6</v>
      </c>
      <c r="B15" s="6">
        <v>61200</v>
      </c>
      <c r="C15" s="6">
        <v>220000</v>
      </c>
      <c r="D15" s="6">
        <v>259000</v>
      </c>
      <c r="E15" s="6">
        <v>558000</v>
      </c>
      <c r="F15" s="6">
        <v>1060000</v>
      </c>
      <c r="G15" s="6">
        <v>2010000</v>
      </c>
      <c r="H15" s="6">
        <v>2930000</v>
      </c>
      <c r="I15" s="44"/>
      <c r="J15" s="40" t="s">
        <v>6</v>
      </c>
      <c r="K15" s="38">
        <v>107197428</v>
      </c>
      <c r="L15" s="38">
        <v>504251940</v>
      </c>
      <c r="M15" s="38">
        <v>618131805</v>
      </c>
      <c r="N15" s="38">
        <v>1226656950</v>
      </c>
      <c r="O15" s="38">
        <v>2585183496</v>
      </c>
      <c r="P15" s="38">
        <v>5647764881</v>
      </c>
      <c r="Q15" s="38">
        <v>9678046003</v>
      </c>
      <c r="R15" s="41"/>
      <c r="S15" s="40" t="s">
        <v>6</v>
      </c>
      <c r="T15" s="38">
        <v>41229389</v>
      </c>
      <c r="U15" s="38">
        <v>156846413</v>
      </c>
      <c r="V15" s="38">
        <v>198240378</v>
      </c>
      <c r="W15" s="38">
        <v>351623050</v>
      </c>
      <c r="X15" s="38">
        <v>853958209</v>
      </c>
      <c r="Y15" s="38">
        <v>1716196946</v>
      </c>
      <c r="Z15" s="38">
        <v>3689182494</v>
      </c>
    </row>
    <row r="16" spans="1:26" x14ac:dyDescent="0.2">
      <c r="A16" s="1" t="s">
        <v>7</v>
      </c>
      <c r="B16" s="6">
        <v>70200</v>
      </c>
      <c r="C16" s="6">
        <v>147000</v>
      </c>
      <c r="D16" s="6">
        <v>257000</v>
      </c>
      <c r="E16" s="6">
        <v>498000</v>
      </c>
      <c r="F16" s="6">
        <v>1030000</v>
      </c>
      <c r="G16" s="6">
        <v>1910000</v>
      </c>
      <c r="H16" s="6">
        <v>3170000</v>
      </c>
      <c r="I16" s="44"/>
      <c r="J16" s="40" t="s">
        <v>7</v>
      </c>
      <c r="K16" s="38">
        <v>120377623</v>
      </c>
      <c r="L16" s="38">
        <v>324449081</v>
      </c>
      <c r="M16" s="38">
        <v>639476522</v>
      </c>
      <c r="N16" s="38">
        <v>1261674955</v>
      </c>
      <c r="O16" s="38">
        <v>2602809465</v>
      </c>
      <c r="P16" s="38">
        <v>5576963054</v>
      </c>
      <c r="Q16" s="38">
        <v>10167922515</v>
      </c>
      <c r="R16" s="41"/>
      <c r="S16" s="40" t="s">
        <v>7</v>
      </c>
      <c r="T16" s="38">
        <v>48850757</v>
      </c>
      <c r="U16" s="38">
        <v>86017840</v>
      </c>
      <c r="V16" s="38">
        <v>188977318</v>
      </c>
      <c r="W16" s="38">
        <v>378691219</v>
      </c>
      <c r="X16" s="38">
        <v>946425005</v>
      </c>
      <c r="Y16" s="38">
        <v>1828285697</v>
      </c>
      <c r="Z16" s="38">
        <v>3757798560</v>
      </c>
    </row>
    <row r="17" spans="1:26" x14ac:dyDescent="0.2">
      <c r="A17" s="2" t="s">
        <v>9</v>
      </c>
      <c r="B17" s="3">
        <f xml:space="preserve"> AVERAGE(B14:B16)</f>
        <v>62133.333333333336</v>
      </c>
      <c r="C17" s="3">
        <f xml:space="preserve"> AVERAGE(C14:C16)</f>
        <v>164333.33333333334</v>
      </c>
      <c r="D17" s="3">
        <f xml:space="preserve"> AVERAGE(D14:D16)</f>
        <v>249000</v>
      </c>
      <c r="E17" s="3">
        <f t="shared" ref="E17:H17" si="2" xml:space="preserve"> AVERAGE(E14:E16)</f>
        <v>525000</v>
      </c>
      <c r="F17" s="3">
        <f t="shared" si="2"/>
        <v>1043333.3333333334</v>
      </c>
      <c r="G17" s="3">
        <f xml:space="preserve"> AVERAGE(G14:G16)</f>
        <v>1963333.3333333333</v>
      </c>
      <c r="H17" s="3">
        <f t="shared" si="2"/>
        <v>3126666.6666666665</v>
      </c>
      <c r="J17" s="2" t="s">
        <v>9</v>
      </c>
      <c r="K17" s="3">
        <f t="shared" ref="K17:Q17" si="3" xml:space="preserve"> AVERAGE(K14:K16)</f>
        <v>108829339</v>
      </c>
      <c r="L17" s="3">
        <f t="shared" si="3"/>
        <v>365286513.33333331</v>
      </c>
      <c r="M17" s="3">
        <f t="shared" si="3"/>
        <v>594362561</v>
      </c>
      <c r="N17" s="3">
        <f t="shared" si="3"/>
        <v>1220604772.6666667</v>
      </c>
      <c r="O17" s="3">
        <f t="shared" si="3"/>
        <v>2565367073.6666665</v>
      </c>
      <c r="P17" s="3">
        <f t="shared" si="3"/>
        <v>5616825678</v>
      </c>
      <c r="Q17" s="3">
        <f t="shared" si="3"/>
        <v>9876726943</v>
      </c>
      <c r="S17" s="2" t="s">
        <v>9</v>
      </c>
      <c r="T17" s="3">
        <f t="shared" ref="T17:Y17" si="4" xml:space="preserve"> AVERAGE(T14:T16)</f>
        <v>44726936.666666664</v>
      </c>
      <c r="U17" s="3">
        <f t="shared" si="4"/>
        <v>107346115.66666667</v>
      </c>
      <c r="V17" s="3">
        <f t="shared" si="4"/>
        <v>190347954</v>
      </c>
      <c r="W17" s="3">
        <f t="shared" si="4"/>
        <v>359395112.66666669</v>
      </c>
      <c r="X17" s="3">
        <f t="shared" si="4"/>
        <v>869621352.33333337</v>
      </c>
      <c r="Y17" s="3">
        <f t="shared" si="4"/>
        <v>1752913004.3333333</v>
      </c>
      <c r="Z17" s="3">
        <f xml:space="preserve"> AVERAGE(Z14:Z16)</f>
        <v>3674395080</v>
      </c>
    </row>
    <row r="21" spans="1:26" ht="16" thickBot="1" x14ac:dyDescent="0.25"/>
    <row r="22" spans="1:26" ht="16" thickBot="1" x14ac:dyDescent="0.25">
      <c r="A22" s="20" t="s">
        <v>11</v>
      </c>
      <c r="B22" s="50"/>
      <c r="C22" s="50"/>
      <c r="D22" s="50"/>
      <c r="E22" s="50"/>
      <c r="F22" s="50"/>
      <c r="G22" s="50"/>
      <c r="H22" s="51"/>
      <c r="J22" s="29" t="s">
        <v>11</v>
      </c>
      <c r="K22" s="52"/>
      <c r="L22" s="52"/>
      <c r="M22" s="52"/>
      <c r="N22" s="52"/>
      <c r="O22" s="52"/>
      <c r="P22" s="52"/>
      <c r="Q22" s="52"/>
      <c r="S22" s="34" t="s">
        <v>11</v>
      </c>
      <c r="T22" s="52"/>
      <c r="U22" s="52"/>
      <c r="V22" s="52"/>
      <c r="W22" s="52"/>
      <c r="X22" s="52"/>
      <c r="Y22" s="52"/>
      <c r="Z22" s="52"/>
    </row>
    <row r="23" spans="1:26" ht="16" thickBot="1" x14ac:dyDescent="0.25">
      <c r="A23" s="21" t="s">
        <v>13</v>
      </c>
      <c r="B23" s="5">
        <v>1000</v>
      </c>
      <c r="C23" s="5">
        <v>2500</v>
      </c>
      <c r="D23" s="5">
        <v>5000</v>
      </c>
      <c r="E23" s="5">
        <v>10000</v>
      </c>
      <c r="F23" s="5">
        <v>25000</v>
      </c>
      <c r="G23" s="5">
        <v>50000</v>
      </c>
      <c r="H23" s="5">
        <v>100000</v>
      </c>
      <c r="J23" s="29" t="s">
        <v>13</v>
      </c>
      <c r="K23" s="5">
        <v>1000</v>
      </c>
      <c r="L23" s="5">
        <v>2500</v>
      </c>
      <c r="M23" s="5">
        <v>5000</v>
      </c>
      <c r="N23" s="5">
        <v>10000</v>
      </c>
      <c r="O23" s="5">
        <v>25000</v>
      </c>
      <c r="P23" s="5">
        <v>50000</v>
      </c>
      <c r="Q23" s="5">
        <v>100000</v>
      </c>
      <c r="S23" s="34" t="s">
        <v>13</v>
      </c>
      <c r="T23" s="5">
        <v>1000</v>
      </c>
      <c r="U23" s="5">
        <v>2500</v>
      </c>
      <c r="V23" s="5">
        <v>5000</v>
      </c>
      <c r="W23" s="5">
        <v>10000</v>
      </c>
      <c r="X23" s="5">
        <v>25000</v>
      </c>
      <c r="Y23" s="5">
        <v>50000</v>
      </c>
      <c r="Z23" s="5">
        <v>100000</v>
      </c>
    </row>
    <row r="24" spans="1:26" x14ac:dyDescent="0.2">
      <c r="A24" s="4" t="s">
        <v>5</v>
      </c>
      <c r="B24" s="6">
        <v>130000</v>
      </c>
      <c r="C24" s="6">
        <v>137000</v>
      </c>
      <c r="D24" s="6">
        <v>290000</v>
      </c>
      <c r="E24" s="6">
        <v>508000</v>
      </c>
      <c r="F24" s="6">
        <v>1070000</v>
      </c>
      <c r="G24" s="6">
        <v>2020000</v>
      </c>
      <c r="H24" s="6">
        <v>3130000</v>
      </c>
      <c r="J24" s="4" t="s">
        <v>5</v>
      </c>
      <c r="K24" s="38">
        <v>89506323</v>
      </c>
      <c r="L24" s="38">
        <v>230861857</v>
      </c>
      <c r="M24" s="38">
        <v>413681789</v>
      </c>
      <c r="N24" s="38">
        <v>882299154</v>
      </c>
      <c r="O24" s="38">
        <v>1796627270</v>
      </c>
      <c r="P24" s="38">
        <v>4067276620</v>
      </c>
      <c r="Q24" s="38">
        <v>7384192330</v>
      </c>
      <c r="S24" s="4" t="s">
        <v>5</v>
      </c>
      <c r="T24" s="38">
        <v>94092473</v>
      </c>
      <c r="U24" s="38">
        <v>206929148</v>
      </c>
      <c r="V24" s="38">
        <v>426158910</v>
      </c>
      <c r="W24" s="38">
        <v>746955334</v>
      </c>
      <c r="X24" s="38">
        <v>1868658288</v>
      </c>
      <c r="Y24" s="38">
        <v>3695628821</v>
      </c>
      <c r="Z24" s="38">
        <v>7084880997</v>
      </c>
    </row>
    <row r="25" spans="1:26" x14ac:dyDescent="0.2">
      <c r="A25" s="1" t="s">
        <v>6</v>
      </c>
      <c r="B25" s="6">
        <v>50700</v>
      </c>
      <c r="C25" s="6">
        <v>156000</v>
      </c>
      <c r="D25" s="6">
        <v>285000</v>
      </c>
      <c r="E25" s="6">
        <v>524000</v>
      </c>
      <c r="F25" s="6">
        <v>1090000</v>
      </c>
      <c r="G25" s="6">
        <v>2020000</v>
      </c>
      <c r="H25" s="6">
        <v>2980000</v>
      </c>
      <c r="J25" s="1" t="s">
        <v>6</v>
      </c>
      <c r="K25" s="38">
        <v>55610093</v>
      </c>
      <c r="L25" s="38">
        <v>226216534</v>
      </c>
      <c r="M25" s="38">
        <v>453895894</v>
      </c>
      <c r="N25" s="38">
        <v>909395128</v>
      </c>
      <c r="O25" s="38">
        <v>1860981915</v>
      </c>
      <c r="P25" s="38">
        <v>4164673995</v>
      </c>
      <c r="Q25" s="38">
        <v>7449781141</v>
      </c>
      <c r="S25" s="1" t="s">
        <v>6</v>
      </c>
      <c r="T25" s="38">
        <v>92099621</v>
      </c>
      <c r="U25" s="38">
        <v>220716019</v>
      </c>
      <c r="V25" s="38">
        <v>454232690</v>
      </c>
      <c r="W25" s="38">
        <v>779139036</v>
      </c>
      <c r="X25" s="38">
        <v>1854588082</v>
      </c>
      <c r="Y25" s="38">
        <v>3829350191</v>
      </c>
      <c r="Z25" s="38">
        <v>7222635983</v>
      </c>
    </row>
    <row r="26" spans="1:26" x14ac:dyDescent="0.2">
      <c r="A26" s="1" t="s">
        <v>7</v>
      </c>
      <c r="B26" s="6">
        <v>66400</v>
      </c>
      <c r="C26" s="6">
        <v>138000</v>
      </c>
      <c r="D26" s="6">
        <v>275000</v>
      </c>
      <c r="E26" s="6">
        <v>562000</v>
      </c>
      <c r="F26" s="6">
        <v>1120000</v>
      </c>
      <c r="G26" s="6">
        <v>1970000</v>
      </c>
      <c r="H26" s="6">
        <v>3000000</v>
      </c>
      <c r="J26" s="1" t="s">
        <v>7</v>
      </c>
      <c r="K26" s="38">
        <v>97135013</v>
      </c>
      <c r="L26" s="38">
        <v>219445386</v>
      </c>
      <c r="M26" s="38">
        <v>407692300</v>
      </c>
      <c r="N26" s="38">
        <v>871999171</v>
      </c>
      <c r="O26" s="38">
        <v>1940911640</v>
      </c>
      <c r="P26" s="38">
        <v>4067141480</v>
      </c>
      <c r="Q26" s="38">
        <v>7336684101</v>
      </c>
      <c r="S26" s="1" t="s">
        <v>7</v>
      </c>
      <c r="T26" s="38">
        <v>89718427</v>
      </c>
      <c r="U26" s="38">
        <v>183648763</v>
      </c>
      <c r="V26" s="38">
        <v>431426364</v>
      </c>
      <c r="W26" s="38">
        <v>795993737</v>
      </c>
      <c r="X26" s="38">
        <v>1930389297</v>
      </c>
      <c r="Y26" s="38">
        <v>3781941354</v>
      </c>
      <c r="Z26" s="38">
        <v>7232729621</v>
      </c>
    </row>
    <row r="27" spans="1:26" x14ac:dyDescent="0.2">
      <c r="A27" s="2" t="s">
        <v>9</v>
      </c>
      <c r="B27" s="3">
        <f t="shared" ref="B27:H27" si="5">AVERAGE(B24, B25, B26)</f>
        <v>82366.666666666672</v>
      </c>
      <c r="C27" s="3">
        <f t="shared" si="5"/>
        <v>143666.66666666666</v>
      </c>
      <c r="D27" s="3">
        <f t="shared" si="5"/>
        <v>283333.33333333331</v>
      </c>
      <c r="E27" s="3">
        <f t="shared" si="5"/>
        <v>531333.33333333337</v>
      </c>
      <c r="F27" s="3">
        <f t="shared" si="5"/>
        <v>1093333.3333333333</v>
      </c>
      <c r="G27" s="3">
        <f t="shared" si="5"/>
        <v>2003333.3333333333</v>
      </c>
      <c r="H27" s="3">
        <f t="shared" si="5"/>
        <v>3036666.6666666665</v>
      </c>
      <c r="J27" s="2" t="s">
        <v>9</v>
      </c>
      <c r="K27" s="3">
        <f t="shared" ref="K27:Q27" si="6">AVERAGE(K24, K25, K26)</f>
        <v>80750476.333333328</v>
      </c>
      <c r="L27" s="3">
        <f t="shared" si="6"/>
        <v>225507925.66666666</v>
      </c>
      <c r="M27" s="3">
        <f t="shared" si="6"/>
        <v>425089994.33333331</v>
      </c>
      <c r="N27" s="3">
        <f t="shared" si="6"/>
        <v>887897817.66666663</v>
      </c>
      <c r="O27" s="3">
        <f t="shared" si="6"/>
        <v>1866173608.3333333</v>
      </c>
      <c r="P27" s="3">
        <f t="shared" si="6"/>
        <v>4099697365</v>
      </c>
      <c r="Q27" s="3">
        <f t="shared" si="6"/>
        <v>7390219190.666667</v>
      </c>
      <c r="S27" s="2" t="s">
        <v>9</v>
      </c>
      <c r="T27" s="3">
        <f t="shared" ref="T27:Z27" si="7">AVERAGE(T24, T25, T26)</f>
        <v>91970173.666666672</v>
      </c>
      <c r="U27" s="3">
        <f t="shared" si="7"/>
        <v>203764643.33333334</v>
      </c>
      <c r="V27" s="3">
        <f t="shared" si="7"/>
        <v>437272654.66666669</v>
      </c>
      <c r="W27" s="3">
        <f t="shared" si="7"/>
        <v>774029369</v>
      </c>
      <c r="X27" s="3">
        <f t="shared" si="7"/>
        <v>1884545222.3333333</v>
      </c>
      <c r="Y27" s="3">
        <f t="shared" si="7"/>
        <v>3768973455.3333335</v>
      </c>
      <c r="Z27" s="3">
        <f t="shared" si="7"/>
        <v>7180082200.333333</v>
      </c>
    </row>
    <row r="29" spans="1:26" x14ac:dyDescent="0.2">
      <c r="A29" s="7"/>
      <c r="B29" s="8"/>
      <c r="C29" s="8"/>
      <c r="D29" s="8"/>
      <c r="E29" s="8"/>
      <c r="F29" s="8"/>
      <c r="G29" s="8"/>
      <c r="H29" s="8"/>
      <c r="J29" s="7"/>
      <c r="K29" s="8"/>
      <c r="L29" s="8"/>
      <c r="M29" s="8"/>
      <c r="N29" s="8"/>
      <c r="O29" s="8"/>
      <c r="P29" s="8"/>
      <c r="Q29" s="8"/>
      <c r="S29" s="7"/>
      <c r="T29" s="8"/>
      <c r="U29" s="8"/>
      <c r="V29" s="8"/>
      <c r="W29" s="8"/>
      <c r="X29" s="8"/>
      <c r="Y29" s="8"/>
      <c r="Z29" s="8"/>
    </row>
    <row r="30" spans="1:26" ht="16" thickBot="1" x14ac:dyDescent="0.25">
      <c r="A30" s="7"/>
      <c r="B30" s="8"/>
      <c r="C30" s="8"/>
      <c r="D30" s="8"/>
      <c r="E30" s="8"/>
      <c r="F30" s="8"/>
      <c r="G30" s="8"/>
      <c r="H30" s="8"/>
      <c r="J30" s="7"/>
      <c r="K30" s="8"/>
      <c r="L30" s="8"/>
      <c r="M30" s="8"/>
      <c r="N30" s="8"/>
      <c r="O30" s="8"/>
      <c r="P30" s="8"/>
      <c r="Q30" s="8"/>
      <c r="S30" s="7"/>
      <c r="T30" s="8"/>
      <c r="U30" s="8"/>
      <c r="V30" s="8"/>
      <c r="W30" s="8"/>
      <c r="X30" s="8"/>
      <c r="Y30" s="8"/>
      <c r="Z30" s="8"/>
    </row>
    <row r="31" spans="1:26" ht="16" thickBot="1" x14ac:dyDescent="0.25">
      <c r="A31" s="22" t="s">
        <v>16</v>
      </c>
      <c r="B31" s="50"/>
      <c r="C31" s="50"/>
      <c r="D31" s="50"/>
      <c r="E31" s="50"/>
      <c r="F31" s="50"/>
      <c r="G31" s="50"/>
      <c r="H31" s="51"/>
      <c r="J31" s="30" t="s">
        <v>16</v>
      </c>
      <c r="K31" s="52"/>
      <c r="L31" s="52"/>
      <c r="M31" s="52"/>
      <c r="N31" s="52"/>
      <c r="O31" s="52"/>
      <c r="P31" s="52"/>
      <c r="Q31" s="52"/>
      <c r="S31" s="35" t="s">
        <v>16</v>
      </c>
      <c r="T31" s="52"/>
      <c r="U31" s="52"/>
      <c r="V31" s="52"/>
      <c r="W31" s="52"/>
      <c r="X31" s="52"/>
      <c r="Y31" s="52"/>
      <c r="Z31" s="52"/>
    </row>
    <row r="32" spans="1:26" ht="16" thickBot="1" x14ac:dyDescent="0.25">
      <c r="A32" s="23" t="s">
        <v>13</v>
      </c>
      <c r="B32" s="9">
        <v>1000</v>
      </c>
      <c r="C32" s="9">
        <v>2500</v>
      </c>
      <c r="D32" s="9">
        <v>5000</v>
      </c>
      <c r="E32" s="9">
        <v>10000</v>
      </c>
      <c r="F32" s="9">
        <v>25000</v>
      </c>
      <c r="G32" s="9">
        <v>50000</v>
      </c>
      <c r="H32" s="9">
        <v>100000</v>
      </c>
      <c r="J32" s="30" t="s">
        <v>13</v>
      </c>
      <c r="K32" s="9">
        <v>1000</v>
      </c>
      <c r="L32" s="9">
        <v>2500</v>
      </c>
      <c r="M32" s="9">
        <v>5000</v>
      </c>
      <c r="N32" s="9">
        <v>10000</v>
      </c>
      <c r="O32" s="9">
        <v>25000</v>
      </c>
      <c r="P32" s="9">
        <v>50000</v>
      </c>
      <c r="Q32" s="9">
        <v>100000</v>
      </c>
      <c r="S32" s="35" t="s">
        <v>13</v>
      </c>
      <c r="T32" s="9">
        <v>1000</v>
      </c>
      <c r="U32" s="9">
        <v>2500</v>
      </c>
      <c r="V32" s="9">
        <v>5000</v>
      </c>
      <c r="W32" s="9">
        <v>10000</v>
      </c>
      <c r="X32" s="9">
        <v>25000</v>
      </c>
      <c r="Y32" s="9">
        <v>50000</v>
      </c>
      <c r="Z32" s="9">
        <v>100000</v>
      </c>
    </row>
    <row r="33" spans="1:26" x14ac:dyDescent="0.2">
      <c r="A33" s="4" t="s">
        <v>5</v>
      </c>
      <c r="B33" s="6">
        <v>67600</v>
      </c>
      <c r="C33" s="6">
        <v>152000</v>
      </c>
      <c r="D33" s="6">
        <v>314000</v>
      </c>
      <c r="E33" s="6">
        <v>732000</v>
      </c>
      <c r="F33" s="6">
        <v>1270000</v>
      </c>
      <c r="G33" s="6">
        <v>2220000</v>
      </c>
      <c r="H33" s="6">
        <v>3110000</v>
      </c>
      <c r="J33" s="4" t="s">
        <v>5</v>
      </c>
      <c r="K33" s="38">
        <v>35630172</v>
      </c>
      <c r="L33" s="38">
        <v>162119931</v>
      </c>
      <c r="M33" s="38">
        <v>301680739</v>
      </c>
      <c r="N33" s="38">
        <v>726440422</v>
      </c>
      <c r="O33" s="38">
        <v>1265746116</v>
      </c>
      <c r="P33" s="38">
        <v>2635695110</v>
      </c>
      <c r="Q33" s="38">
        <v>4100961652</v>
      </c>
      <c r="S33" s="4" t="s">
        <v>5</v>
      </c>
      <c r="T33" s="38">
        <v>117271470</v>
      </c>
      <c r="U33" s="38">
        <v>253399771</v>
      </c>
      <c r="V33" s="38">
        <v>549281589</v>
      </c>
      <c r="W33" s="38">
        <v>1186099385</v>
      </c>
      <c r="X33" s="38">
        <v>2605659805</v>
      </c>
      <c r="Y33" s="38">
        <v>5056583717</v>
      </c>
      <c r="Z33" s="38">
        <v>9679380399</v>
      </c>
    </row>
    <row r="34" spans="1:26" x14ac:dyDescent="0.2">
      <c r="A34" s="1" t="s">
        <v>6</v>
      </c>
      <c r="B34" s="6">
        <v>57800</v>
      </c>
      <c r="C34" s="6">
        <v>168000</v>
      </c>
      <c r="D34" s="6">
        <v>333000</v>
      </c>
      <c r="E34" s="6">
        <v>624000</v>
      </c>
      <c r="F34" s="6">
        <v>1270000</v>
      </c>
      <c r="G34" s="6">
        <v>2220000</v>
      </c>
      <c r="H34" s="6">
        <v>3470000</v>
      </c>
      <c r="J34" s="1" t="s">
        <v>6</v>
      </c>
      <c r="K34" s="38">
        <v>55081718</v>
      </c>
      <c r="L34" s="38">
        <v>192723826</v>
      </c>
      <c r="M34" s="38">
        <v>324025722</v>
      </c>
      <c r="N34" s="38">
        <v>623636806</v>
      </c>
      <c r="O34" s="38">
        <v>1245744589</v>
      </c>
      <c r="P34" s="38">
        <v>2580220154</v>
      </c>
      <c r="Q34" s="38">
        <v>4422831295</v>
      </c>
      <c r="S34" s="1" t="s">
        <v>6</v>
      </c>
      <c r="T34" s="38">
        <v>101732066</v>
      </c>
      <c r="U34" s="38">
        <v>305093582</v>
      </c>
      <c r="V34" s="38">
        <v>599361101</v>
      </c>
      <c r="W34" s="38">
        <v>1075933531</v>
      </c>
      <c r="X34" s="38">
        <v>2695012339</v>
      </c>
      <c r="Y34" s="38">
        <v>5150695591</v>
      </c>
      <c r="Z34" s="38">
        <v>10572623687</v>
      </c>
    </row>
    <row r="35" spans="1:26" x14ac:dyDescent="0.2">
      <c r="A35" s="1" t="s">
        <v>7</v>
      </c>
      <c r="B35" s="6">
        <v>64900</v>
      </c>
      <c r="C35" s="6">
        <v>173000</v>
      </c>
      <c r="D35" s="6">
        <v>322000</v>
      </c>
      <c r="E35" s="6">
        <v>572000</v>
      </c>
      <c r="F35" s="6">
        <v>1240000</v>
      </c>
      <c r="G35" s="6">
        <v>2260000</v>
      </c>
      <c r="H35" s="6">
        <v>3350000</v>
      </c>
      <c r="J35" s="1" t="s">
        <v>7</v>
      </c>
      <c r="K35" s="38">
        <v>51881881</v>
      </c>
      <c r="L35" s="38">
        <v>149193974</v>
      </c>
      <c r="M35" s="38">
        <v>280864528</v>
      </c>
      <c r="N35" s="38">
        <v>564040508</v>
      </c>
      <c r="O35" s="38">
        <v>1251906011</v>
      </c>
      <c r="P35" s="38">
        <v>2650118230</v>
      </c>
      <c r="Q35" s="38">
        <v>4490556836</v>
      </c>
      <c r="S35" s="1" t="s">
        <v>7</v>
      </c>
      <c r="T35" s="38">
        <v>136533443</v>
      </c>
      <c r="U35" s="38">
        <v>287070792</v>
      </c>
      <c r="V35" s="38">
        <v>628981275</v>
      </c>
      <c r="W35" s="38">
        <v>1125075745</v>
      </c>
      <c r="X35" s="38">
        <v>2732246944</v>
      </c>
      <c r="Y35" s="38">
        <v>5491937881</v>
      </c>
      <c r="Z35" s="38">
        <v>10918053249</v>
      </c>
    </row>
    <row r="36" spans="1:26" x14ac:dyDescent="0.2">
      <c r="A36" s="2" t="s">
        <v>9</v>
      </c>
      <c r="B36" s="3">
        <f>AVERAGE(B33:B35)</f>
        <v>63433.333333333336</v>
      </c>
      <c r="C36" s="3">
        <f t="shared" ref="C36:H36" si="8">AVERAGE(C33:C35)</f>
        <v>164333.33333333334</v>
      </c>
      <c r="D36" s="3">
        <f>AVERAGE(D33:D35)</f>
        <v>323000</v>
      </c>
      <c r="E36" s="3">
        <f t="shared" si="8"/>
        <v>642666.66666666663</v>
      </c>
      <c r="F36" s="3">
        <f>AVERAGE(F33:F35)</f>
        <v>1260000</v>
      </c>
      <c r="G36" s="3">
        <f t="shared" si="8"/>
        <v>2233333.3333333335</v>
      </c>
      <c r="H36" s="3">
        <f t="shared" si="8"/>
        <v>3310000</v>
      </c>
      <c r="J36" s="2" t="s">
        <v>9</v>
      </c>
      <c r="K36" s="3">
        <f t="shared" ref="K36:Q36" si="9">AVERAGE(K33:K35)</f>
        <v>47531257</v>
      </c>
      <c r="L36" s="3">
        <f t="shared" si="9"/>
        <v>168012577</v>
      </c>
      <c r="M36" s="3">
        <f t="shared" si="9"/>
        <v>302190329.66666669</v>
      </c>
      <c r="N36" s="3">
        <f t="shared" si="9"/>
        <v>638039245.33333337</v>
      </c>
      <c r="O36" s="3">
        <f t="shared" si="9"/>
        <v>1254465572</v>
      </c>
      <c r="P36" s="3">
        <f t="shared" si="9"/>
        <v>2622011164.6666665</v>
      </c>
      <c r="Q36" s="3">
        <f t="shared" si="9"/>
        <v>4338116594.333333</v>
      </c>
      <c r="S36" s="2" t="s">
        <v>9</v>
      </c>
      <c r="T36" s="3">
        <f t="shared" ref="T36:Y36" si="10">AVERAGE(T33:T35)</f>
        <v>118512326.33333333</v>
      </c>
      <c r="U36" s="3">
        <f t="shared" si="10"/>
        <v>281854715</v>
      </c>
      <c r="V36" s="3">
        <f>AVERAGE(V33:V35)</f>
        <v>592541321.66666663</v>
      </c>
      <c r="W36" s="3">
        <f t="shared" si="10"/>
        <v>1129036220.3333333</v>
      </c>
      <c r="X36" s="3">
        <f t="shared" si="10"/>
        <v>2677639696</v>
      </c>
      <c r="Y36" s="3">
        <f t="shared" si="10"/>
        <v>5233072396.333333</v>
      </c>
      <c r="Z36" s="3">
        <f>AVERAGE(Z33:Z35)</f>
        <v>10390019111.666666</v>
      </c>
    </row>
    <row r="38" spans="1:26" ht="16" thickBot="1" x14ac:dyDescent="0.25"/>
    <row r="39" spans="1:26" ht="16" thickBot="1" x14ac:dyDescent="0.25">
      <c r="A39" s="24" t="s">
        <v>17</v>
      </c>
      <c r="B39" s="50"/>
      <c r="C39" s="50"/>
      <c r="D39" s="50"/>
      <c r="E39" s="50"/>
      <c r="F39" s="50"/>
      <c r="G39" s="50"/>
      <c r="H39" s="51"/>
      <c r="J39" s="30" t="s">
        <v>17</v>
      </c>
      <c r="K39" s="52"/>
      <c r="L39" s="52"/>
      <c r="M39" s="52"/>
      <c r="N39" s="52"/>
      <c r="O39" s="52"/>
      <c r="P39" s="52"/>
      <c r="Q39" s="52"/>
      <c r="S39" s="36" t="s">
        <v>17</v>
      </c>
      <c r="T39" s="52"/>
      <c r="U39" s="52"/>
      <c r="V39" s="52"/>
      <c r="W39" s="52"/>
      <c r="X39" s="52"/>
      <c r="Y39" s="52"/>
      <c r="Z39" s="52"/>
    </row>
    <row r="40" spans="1:26" ht="16" thickBot="1" x14ac:dyDescent="0.25">
      <c r="A40" s="25" t="s">
        <v>13</v>
      </c>
      <c r="B40" s="9">
        <v>1000</v>
      </c>
      <c r="C40" s="9">
        <v>2500</v>
      </c>
      <c r="D40" s="9">
        <v>5000</v>
      </c>
      <c r="E40" s="9">
        <v>10000</v>
      </c>
      <c r="F40" s="9">
        <v>25000</v>
      </c>
      <c r="G40" s="9">
        <v>50000</v>
      </c>
      <c r="H40" s="9">
        <v>100000</v>
      </c>
      <c r="J40" s="30" t="s">
        <v>13</v>
      </c>
      <c r="K40" s="9">
        <v>1000</v>
      </c>
      <c r="L40" s="9">
        <v>2500</v>
      </c>
      <c r="M40" s="9">
        <v>5000</v>
      </c>
      <c r="N40" s="9">
        <v>10000</v>
      </c>
      <c r="O40" s="9">
        <v>25000</v>
      </c>
      <c r="P40" s="9">
        <v>50000</v>
      </c>
      <c r="Q40" s="9">
        <v>100000</v>
      </c>
      <c r="S40" s="36" t="s">
        <v>13</v>
      </c>
      <c r="T40" s="9">
        <v>1000</v>
      </c>
      <c r="U40" s="9">
        <v>2500</v>
      </c>
      <c r="V40" s="9">
        <v>5000</v>
      </c>
      <c r="W40" s="9">
        <v>10000</v>
      </c>
      <c r="X40" s="9">
        <v>25000</v>
      </c>
      <c r="Y40" s="9">
        <v>50000</v>
      </c>
      <c r="Z40" s="9">
        <v>100000</v>
      </c>
    </row>
    <row r="41" spans="1:26" x14ac:dyDescent="0.2">
      <c r="A41" s="4" t="s">
        <v>5</v>
      </c>
      <c r="B41" s="6">
        <v>87400</v>
      </c>
      <c r="C41" s="6">
        <v>191000</v>
      </c>
      <c r="D41" s="6">
        <v>338000</v>
      </c>
      <c r="E41" s="6">
        <v>629000</v>
      </c>
      <c r="F41" s="6">
        <v>1340000</v>
      </c>
      <c r="G41" s="6">
        <v>2110000</v>
      </c>
      <c r="H41" s="6">
        <v>2620000</v>
      </c>
      <c r="J41" s="4" t="s">
        <v>5</v>
      </c>
      <c r="K41" s="38">
        <v>33973824</v>
      </c>
      <c r="L41" s="38">
        <v>84917350</v>
      </c>
      <c r="M41" s="38">
        <v>151719720</v>
      </c>
      <c r="N41" s="38">
        <v>319565839</v>
      </c>
      <c r="O41" s="38">
        <v>595862784</v>
      </c>
      <c r="P41" s="38">
        <v>1293839303</v>
      </c>
      <c r="Q41" s="38">
        <v>1914283779</v>
      </c>
      <c r="S41" s="4" t="s">
        <v>5</v>
      </c>
      <c r="T41" s="38">
        <v>178502579</v>
      </c>
      <c r="U41" s="38">
        <v>398680795</v>
      </c>
      <c r="V41" s="38">
        <v>815129718</v>
      </c>
      <c r="W41" s="38">
        <v>1546701262</v>
      </c>
      <c r="X41" s="38">
        <v>3667726431</v>
      </c>
      <c r="Y41" s="38">
        <v>6776033237</v>
      </c>
      <c r="Z41" s="38">
        <v>11186861855</v>
      </c>
    </row>
    <row r="42" spans="1:26" x14ac:dyDescent="0.2">
      <c r="A42" s="1" t="s">
        <v>6</v>
      </c>
      <c r="B42" s="6">
        <v>126000</v>
      </c>
      <c r="C42" s="6">
        <v>172000</v>
      </c>
      <c r="D42" s="6">
        <v>343000</v>
      </c>
      <c r="E42" s="6">
        <v>599000</v>
      </c>
      <c r="F42" s="6">
        <v>1330000</v>
      </c>
      <c r="G42" s="6">
        <v>2210000</v>
      </c>
      <c r="H42" s="6">
        <v>3340000</v>
      </c>
      <c r="J42" s="1" t="s">
        <v>6</v>
      </c>
      <c r="K42" s="38">
        <v>53412150</v>
      </c>
      <c r="L42" s="38">
        <v>87167341</v>
      </c>
      <c r="M42" s="38">
        <v>157643292</v>
      </c>
      <c r="N42" s="38">
        <v>286203108</v>
      </c>
      <c r="O42" s="38">
        <v>641465912</v>
      </c>
      <c r="P42" s="38">
        <v>1324453662</v>
      </c>
      <c r="Q42" s="38">
        <v>2390737431</v>
      </c>
      <c r="S42" s="1" t="s">
        <v>6</v>
      </c>
      <c r="T42" s="38">
        <v>292561007</v>
      </c>
      <c r="U42" s="38">
        <v>403939561</v>
      </c>
      <c r="V42" s="38">
        <v>833987367</v>
      </c>
      <c r="W42" s="38">
        <v>1494723898</v>
      </c>
      <c r="X42" s="38">
        <v>3719990475</v>
      </c>
      <c r="Y42" s="38">
        <v>7192482640</v>
      </c>
      <c r="Z42" s="38">
        <v>13548330250</v>
      </c>
    </row>
    <row r="43" spans="1:26" x14ac:dyDescent="0.2">
      <c r="A43" s="1" t="s">
        <v>7</v>
      </c>
      <c r="B43" s="6">
        <v>65800</v>
      </c>
      <c r="C43" s="6">
        <v>175000</v>
      </c>
      <c r="D43" s="6">
        <v>334000</v>
      </c>
      <c r="E43" s="6">
        <v>576000</v>
      </c>
      <c r="F43" s="6">
        <v>1330000</v>
      </c>
      <c r="G43" s="6">
        <v>2140000</v>
      </c>
      <c r="H43" s="6">
        <v>3370000</v>
      </c>
      <c r="J43" s="1" t="s">
        <v>7</v>
      </c>
      <c r="K43" s="38">
        <v>28670414</v>
      </c>
      <c r="L43" s="38">
        <v>72947441</v>
      </c>
      <c r="M43" s="38">
        <v>162613248</v>
      </c>
      <c r="N43" s="38">
        <v>310559976</v>
      </c>
      <c r="O43" s="38">
        <v>649957245</v>
      </c>
      <c r="P43" s="38">
        <v>1299350534</v>
      </c>
      <c r="Q43" s="38">
        <v>2349270329</v>
      </c>
      <c r="S43" s="1" t="s">
        <v>7</v>
      </c>
      <c r="T43" s="38">
        <v>156293905</v>
      </c>
      <c r="U43" s="38">
        <v>364523067</v>
      </c>
      <c r="V43" s="38">
        <v>812289170</v>
      </c>
      <c r="W43" s="38">
        <v>1427791399</v>
      </c>
      <c r="X43" s="38">
        <v>3693316329</v>
      </c>
      <c r="Y43" s="38">
        <v>7070710357</v>
      </c>
      <c r="Z43" s="38">
        <v>13949842887</v>
      </c>
    </row>
    <row r="44" spans="1:26" x14ac:dyDescent="0.2">
      <c r="A44" s="2" t="s">
        <v>9</v>
      </c>
      <c r="B44" s="3">
        <f>AVERAGE(B41, B42, B43)</f>
        <v>93066.666666666672</v>
      </c>
      <c r="C44" s="3">
        <f t="shared" ref="C44:G44" si="11">AVERAGE(C41, C42, C43)</f>
        <v>179333.33333333334</v>
      </c>
      <c r="D44" s="3">
        <f>AVERAGE(D41, D42, D43)</f>
        <v>338333.33333333331</v>
      </c>
      <c r="E44" s="3">
        <f t="shared" si="11"/>
        <v>601333.33333333337</v>
      </c>
      <c r="F44" s="3">
        <f t="shared" si="11"/>
        <v>1333333.3333333333</v>
      </c>
      <c r="G44" s="3">
        <f t="shared" si="11"/>
        <v>2153333.3333333335</v>
      </c>
      <c r="H44" s="3">
        <f>AVERAGE(H41, H42, H43)</f>
        <v>3110000</v>
      </c>
      <c r="J44" s="2" t="s">
        <v>9</v>
      </c>
      <c r="K44" s="3">
        <f>AVERAGE(K41, K42, K43)</f>
        <v>38685462.666666664</v>
      </c>
      <c r="L44" s="3">
        <f t="shared" ref="L44:P44" si="12">AVERAGE(L41, L42, L43)</f>
        <v>81677377.333333328</v>
      </c>
      <c r="M44" s="3">
        <f>AVERAGE(M41, M42, M43)</f>
        <v>157325420</v>
      </c>
      <c r="N44" s="3">
        <f t="shared" si="12"/>
        <v>305442974.33333331</v>
      </c>
      <c r="O44" s="3">
        <f t="shared" si="12"/>
        <v>629095313.66666663</v>
      </c>
      <c r="P44" s="3">
        <f t="shared" si="12"/>
        <v>1305881166.3333333</v>
      </c>
      <c r="Q44" s="3">
        <f>AVERAGE(Q41, Q42, Q43)</f>
        <v>2218097179.6666665</v>
      </c>
      <c r="S44" s="2" t="s">
        <v>9</v>
      </c>
      <c r="T44" s="3">
        <f>AVERAGE(T41, T42, T43)</f>
        <v>209119163.66666666</v>
      </c>
      <c r="U44" s="3">
        <f>AVERAGE(U41, U42, U43)</f>
        <v>389047807.66666669</v>
      </c>
      <c r="V44" s="3">
        <f t="shared" ref="V44:Y44" si="13">AVERAGE(V41, V42, V43)</f>
        <v>820468751.66666663</v>
      </c>
      <c r="W44" s="3">
        <f t="shared" si="13"/>
        <v>1489738853</v>
      </c>
      <c r="X44" s="3">
        <f>AVERAGE(X41, X42, X43)</f>
        <v>3693677745</v>
      </c>
      <c r="Y44" s="3">
        <f t="shared" si="13"/>
        <v>7013075411.333333</v>
      </c>
      <c r="Z44" s="3">
        <f>AVERAGE(Z41, Z42, Z43)</f>
        <v>12895011664</v>
      </c>
    </row>
    <row r="45" spans="1:26" ht="14" customHeight="1" x14ac:dyDescent="0.2">
      <c r="A45" s="7"/>
      <c r="B45" s="8"/>
      <c r="C45" s="8"/>
      <c r="D45" s="8"/>
      <c r="E45" s="8"/>
      <c r="F45" s="8"/>
      <c r="G45" s="8"/>
      <c r="H45" s="8"/>
      <c r="J45" s="7"/>
      <c r="K45" s="8"/>
      <c r="L45" s="8"/>
      <c r="M45" s="8"/>
      <c r="N45" s="8"/>
      <c r="O45" s="8"/>
      <c r="P45" s="8"/>
      <c r="Q45" s="8"/>
      <c r="S45" s="7"/>
      <c r="T45" s="8"/>
      <c r="U45" s="8"/>
      <c r="V45" s="8"/>
      <c r="W45" s="8"/>
      <c r="X45" s="8"/>
      <c r="Y45" s="8"/>
      <c r="Z45" s="8"/>
    </row>
    <row r="46" spans="1:26" ht="16" thickBot="1" x14ac:dyDescent="0.25"/>
    <row r="47" spans="1:26" ht="16" thickBot="1" x14ac:dyDescent="0.25">
      <c r="A47" s="26" t="s">
        <v>12</v>
      </c>
      <c r="B47" s="50"/>
      <c r="C47" s="50"/>
      <c r="D47" s="50"/>
      <c r="E47" s="50"/>
      <c r="F47" s="50"/>
      <c r="G47" s="50"/>
      <c r="H47" s="51"/>
      <c r="J47" s="31" t="s">
        <v>12</v>
      </c>
      <c r="K47" s="52"/>
      <c r="L47" s="52"/>
      <c r="M47" s="52"/>
      <c r="N47" s="52"/>
      <c r="O47" s="52"/>
      <c r="P47" s="52"/>
      <c r="Q47" s="52"/>
      <c r="S47" s="37" t="s">
        <v>12</v>
      </c>
      <c r="T47" s="52"/>
      <c r="U47" s="52"/>
      <c r="V47" s="52"/>
      <c r="W47" s="52"/>
      <c r="X47" s="52"/>
      <c r="Y47" s="52"/>
      <c r="Z47" s="52"/>
    </row>
    <row r="48" spans="1:26" ht="16" thickBot="1" x14ac:dyDescent="0.25">
      <c r="A48" s="26" t="s">
        <v>13</v>
      </c>
      <c r="B48" s="9">
        <v>1000</v>
      </c>
      <c r="C48" s="9">
        <v>2500</v>
      </c>
      <c r="D48" s="9">
        <v>5000</v>
      </c>
      <c r="E48" s="9">
        <v>10000</v>
      </c>
      <c r="F48" s="9">
        <v>25000</v>
      </c>
      <c r="G48" s="9">
        <v>50000</v>
      </c>
      <c r="H48" s="9">
        <v>100000</v>
      </c>
      <c r="J48" s="31" t="s">
        <v>13</v>
      </c>
      <c r="K48" s="9">
        <v>1000</v>
      </c>
      <c r="L48" s="9">
        <v>2500</v>
      </c>
      <c r="M48" s="9">
        <v>5000</v>
      </c>
      <c r="N48" s="9">
        <v>10000</v>
      </c>
      <c r="O48" s="9">
        <v>25000</v>
      </c>
      <c r="P48" s="9">
        <v>50000</v>
      </c>
      <c r="Q48" s="9">
        <v>100000</v>
      </c>
      <c r="S48" s="37" t="s">
        <v>13</v>
      </c>
      <c r="T48" s="9">
        <v>1000</v>
      </c>
      <c r="U48" s="9">
        <v>2500</v>
      </c>
      <c r="V48" s="9">
        <v>5000</v>
      </c>
      <c r="W48" s="9">
        <v>10000</v>
      </c>
      <c r="X48" s="9">
        <v>25000</v>
      </c>
      <c r="Y48" s="9">
        <v>50000</v>
      </c>
      <c r="Z48" s="9">
        <v>100000</v>
      </c>
    </row>
    <row r="49" spans="1:26" x14ac:dyDescent="0.2">
      <c r="A49" s="4" t="s">
        <v>5</v>
      </c>
      <c r="B49" s="6">
        <v>71100</v>
      </c>
      <c r="C49" s="6">
        <v>189000</v>
      </c>
      <c r="D49" s="6">
        <v>387000</v>
      </c>
      <c r="E49" s="6">
        <v>635000</v>
      </c>
      <c r="F49" s="6">
        <v>1360000</v>
      </c>
      <c r="G49" s="6">
        <v>2190000</v>
      </c>
      <c r="H49" s="6">
        <v>3360000</v>
      </c>
      <c r="J49" s="4" t="s">
        <v>5</v>
      </c>
      <c r="K49" s="6"/>
      <c r="L49" s="6"/>
      <c r="M49" s="6"/>
      <c r="N49" s="6"/>
      <c r="O49" s="6"/>
      <c r="P49" s="6"/>
      <c r="Q49" s="6"/>
      <c r="S49" s="4" t="s">
        <v>5</v>
      </c>
      <c r="T49" s="38">
        <v>175655116</v>
      </c>
      <c r="U49" s="38">
        <v>463234750</v>
      </c>
      <c r="V49" s="38">
        <v>981894251</v>
      </c>
      <c r="W49" s="38">
        <v>1757707641</v>
      </c>
      <c r="X49" s="38">
        <v>4258229050</v>
      </c>
      <c r="Y49" s="38">
        <v>8156930129</v>
      </c>
      <c r="Z49" s="38">
        <v>15433320700</v>
      </c>
    </row>
    <row r="50" spans="1:26" x14ac:dyDescent="0.2">
      <c r="A50" s="1" t="s">
        <v>6</v>
      </c>
      <c r="B50" s="6">
        <v>75700</v>
      </c>
      <c r="C50" s="6">
        <v>185000</v>
      </c>
      <c r="D50" s="6">
        <v>381000</v>
      </c>
      <c r="E50" s="6">
        <v>659000</v>
      </c>
      <c r="F50" s="6">
        <v>1390000</v>
      </c>
      <c r="G50" s="6">
        <v>2140000</v>
      </c>
      <c r="H50" s="6">
        <v>3300000</v>
      </c>
      <c r="J50" s="1" t="s">
        <v>6</v>
      </c>
      <c r="K50" s="6"/>
      <c r="L50" s="6"/>
      <c r="M50" s="6"/>
      <c r="N50" s="6"/>
      <c r="O50" s="6"/>
      <c r="P50" s="6"/>
      <c r="Q50" s="6"/>
      <c r="S50" s="1" t="s">
        <v>6</v>
      </c>
      <c r="T50" s="38">
        <v>196237869</v>
      </c>
      <c r="U50" s="38">
        <v>459003809</v>
      </c>
      <c r="V50" s="38">
        <v>1000932875</v>
      </c>
      <c r="W50" s="38">
        <v>1819674453</v>
      </c>
      <c r="X50" s="38">
        <v>4364956629</v>
      </c>
      <c r="Y50" s="38">
        <v>8221021872</v>
      </c>
      <c r="Z50" s="38">
        <v>15723034150</v>
      </c>
    </row>
    <row r="51" spans="1:26" x14ac:dyDescent="0.2">
      <c r="A51" s="1" t="s">
        <v>7</v>
      </c>
      <c r="B51" s="6">
        <v>76600</v>
      </c>
      <c r="C51" s="6">
        <v>187000</v>
      </c>
      <c r="D51" s="6">
        <v>383000</v>
      </c>
      <c r="E51" s="6">
        <v>596000</v>
      </c>
      <c r="F51" s="6">
        <v>1360000</v>
      </c>
      <c r="G51" s="6">
        <v>2170000</v>
      </c>
      <c r="H51" s="6">
        <v>3260000</v>
      </c>
      <c r="J51" s="1" t="s">
        <v>7</v>
      </c>
      <c r="K51" s="6"/>
      <c r="L51" s="6"/>
      <c r="M51" s="6"/>
      <c r="N51" s="6"/>
      <c r="O51" s="6"/>
      <c r="P51" s="6"/>
      <c r="Q51" s="6"/>
      <c r="S51" s="1" t="s">
        <v>7</v>
      </c>
      <c r="T51" s="38">
        <v>191002056</v>
      </c>
      <c r="U51" s="38">
        <v>470886192</v>
      </c>
      <c r="V51" s="38">
        <v>1032402093</v>
      </c>
      <c r="W51" s="38">
        <v>1754210304</v>
      </c>
      <c r="X51" s="38">
        <v>4372125403</v>
      </c>
      <c r="Y51" s="38">
        <v>8297979188</v>
      </c>
      <c r="Z51" s="38">
        <v>15580927788</v>
      </c>
    </row>
    <row r="52" spans="1:26" x14ac:dyDescent="0.2">
      <c r="A52" s="2" t="s">
        <v>9</v>
      </c>
      <c r="B52" s="3">
        <f t="shared" ref="B52:G52" si="14">AVERAGE(B49, B50, B51)</f>
        <v>74466.666666666672</v>
      </c>
      <c r="C52" s="3">
        <f t="shared" si="14"/>
        <v>187000</v>
      </c>
      <c r="D52" s="3">
        <f>AVERAGE(D49, D50, D51)</f>
        <v>383666.66666666669</v>
      </c>
      <c r="E52" s="3">
        <f t="shared" si="14"/>
        <v>630000</v>
      </c>
      <c r="F52" s="3">
        <f t="shared" si="14"/>
        <v>1370000</v>
      </c>
      <c r="G52" s="3">
        <f t="shared" si="14"/>
        <v>2166666.6666666665</v>
      </c>
      <c r="H52" s="3">
        <f>AVERAGE(H49, H50, H51)</f>
        <v>3306666.6666666665</v>
      </c>
      <c r="J52" s="2" t="s">
        <v>9</v>
      </c>
      <c r="K52" s="3"/>
      <c r="L52" s="3"/>
      <c r="M52" s="3"/>
      <c r="N52" s="3"/>
      <c r="O52" s="3"/>
      <c r="P52" s="3"/>
      <c r="Q52" s="3"/>
      <c r="S52" s="2" t="s">
        <v>9</v>
      </c>
      <c r="T52" s="3">
        <f>AVERAGE(T49, T50, T51)</f>
        <v>187631680.33333334</v>
      </c>
      <c r="U52" s="3">
        <f>AVERAGE(U49, U50, U51)</f>
        <v>464374917</v>
      </c>
      <c r="V52" s="3">
        <f t="shared" ref="V52:Z52" si="15">AVERAGE(V49, V50, V51)</f>
        <v>1005076406.3333334</v>
      </c>
      <c r="W52" s="3">
        <f>AVERAGE(W51, W50, W49)</f>
        <v>1777197466</v>
      </c>
      <c r="X52" s="3">
        <f>AVERAGE(X49, X50, X51)</f>
        <v>4331770360.666667</v>
      </c>
      <c r="Y52" s="3">
        <f t="shared" si="15"/>
        <v>8225310396.333333</v>
      </c>
      <c r="Z52" s="3">
        <f t="shared" si="15"/>
        <v>15579094212.666666</v>
      </c>
    </row>
    <row r="55" spans="1:26" x14ac:dyDescent="0.2">
      <c r="R55" s="38"/>
    </row>
    <row r="56" spans="1:26" x14ac:dyDescent="0.2">
      <c r="R56" s="38"/>
    </row>
    <row r="57" spans="1:26" x14ac:dyDescent="0.2">
      <c r="R57" s="38"/>
    </row>
  </sheetData>
  <mergeCells count="18">
    <mergeCell ref="T31:Z31"/>
    <mergeCell ref="T39:Z39"/>
    <mergeCell ref="T47:Z47"/>
    <mergeCell ref="T2:Z2"/>
    <mergeCell ref="T12:Z12"/>
    <mergeCell ref="T22:Z22"/>
    <mergeCell ref="K31:Q31"/>
    <mergeCell ref="K39:Q39"/>
    <mergeCell ref="K47:Q47"/>
    <mergeCell ref="K2:Q2"/>
    <mergeCell ref="K12:Q12"/>
    <mergeCell ref="K22:Q22"/>
    <mergeCell ref="B2:H2"/>
    <mergeCell ref="B12:H12"/>
    <mergeCell ref="B22:H22"/>
    <mergeCell ref="B47:H47"/>
    <mergeCell ref="B31:H31"/>
    <mergeCell ref="B39:H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D1" zoomScale="80" zoomScaleNormal="80" workbookViewId="0">
      <selection activeCell="AI28" sqref="AI28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Formatted</vt:lpstr>
      <vt:lpstr>Sensitive &amp; Resist monocultu</vt:lpstr>
      <vt:lpstr>Sens &amp; Resist coculture ratios</vt:lpstr>
      <vt:lpstr>Spheroid areas for plated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2021-01-29T23:30:39Z</dcterms:created>
  <dcterms:modified xsi:type="dcterms:W3CDTF">2023-05-25T20:52:10Z</dcterms:modified>
</cp:coreProperties>
</file>